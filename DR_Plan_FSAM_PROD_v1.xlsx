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640" tabRatio="500" activeTab="1"/>
  </bookViews>
  <sheets>
    <sheet name="Summary" sheetId="1" r:id="rId1"/>
    <sheet name="Cost Summary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2" l="1"/>
  <c r="F7" i="2"/>
  <c r="E7" i="2"/>
  <c r="G6" i="2"/>
  <c r="F6" i="2"/>
  <c r="E6" i="2"/>
  <c r="D6" i="2"/>
  <c r="D7" i="2" s="1"/>
  <c r="C6" i="2"/>
  <c r="C7" i="2" s="1"/>
  <c r="B6" i="2"/>
  <c r="B7" i="2" s="1"/>
  <c r="C27" i="1"/>
</calcChain>
</file>

<file path=xl/sharedStrings.xml><?xml version="1.0" encoding="utf-8"?>
<sst xmlns="http://schemas.openxmlformats.org/spreadsheetml/2006/main" count="119" uniqueCount="118">
  <si>
    <t>DISASTER RECOVERY PLAN  –  FSAM PROD  |  Executive Summary</t>
  </si>
  <si>
    <t>Resource Group: FSAM-PROD-RG  |  Region: East US  |  RSV: fsamprod-rsv  |  Serial Execution  |  Total Steps: 19  |  Total RTO: ~9.5 hrs  |  +30% over UAT baseline</t>
  </si>
  <si>
    <t>#  Component</t>
  </si>
  <si>
    <t>Backup &amp; Restore Method</t>
  </si>
  <si>
    <t>Restore Time
(min)</t>
  </si>
  <si>
    <t>Backup Frequency</t>
  </si>
  <si>
    <t>Dependency
(Prior Step)</t>
  </si>
  <si>
    <t>▶  PHASE 1 – INFRASTRUCTURE  (Steps 1–9)</t>
  </si>
  <si>
    <t>1  –  Recovery Services Vault – Verify</t>
  </si>
  <si>
    <t>Azure Backup built-in RSV verification (pre-flight check – no restore action)</t>
  </si>
  <si>
    <t>N/A – Pre-check</t>
  </si>
  <si>
    <t>None – DR Start</t>
  </si>
  <si>
    <t>2  –  Key Vault – Secrets &amp; Access</t>
  </si>
  <si>
    <t>Azure Key Vault soft-delete + purge-protection (geo-redundant, auto-replication)</t>
  </si>
  <si>
    <t>Continuous (geo-redundant replication)</t>
  </si>
  <si>
    <t>Step 1</t>
  </si>
  <si>
    <t>3  –  Storage Account – Backup Staging</t>
  </si>
  <si>
    <t>Azure Backup staging (RSV-managed) + Azure Storage geo-redundancy (ZRS)</t>
  </si>
  <si>
    <t>Matches RSV policy (daily full, incremental)</t>
  </si>
  <si>
    <t>Step 2</t>
  </si>
  <si>
    <t>4  –  Virtual Network, NSGs &amp; NICs</t>
  </si>
  <si>
    <t>ARM template / Bicep IaC (versioned in source control) + NSG flow log export</t>
  </si>
  <si>
    <t>On-change (IaC pipeline deploy)</t>
  </si>
  <si>
    <t>Step 3</t>
  </si>
  <si>
    <t>5  –  VM OS Disk C:\ – Health Check (VM Running)</t>
  </si>
  <si>
    <t>Azure VM Backup via RSV (crash-consistent + app-consistent snapshots)</t>
  </si>
  <si>
    <t>Daily (RSV VM backup policy)</t>
  </si>
  <si>
    <t>Step 4</t>
  </si>
  <si>
    <t>6  –  VM Data Disk E:\ – Health Check (VM Running)</t>
  </si>
  <si>
    <t>Azure VM Backup via RSV (disk snapshot included in VM backup job)</t>
  </si>
  <si>
    <t>Step 5</t>
  </si>
  <si>
    <t>7  –  Load Balancer – Health Verify</t>
  </si>
  <si>
    <t>ARM template / Bicep IaC + Azure LB config export (no restore – verify only)</t>
  </si>
  <si>
    <t>On-change (IaC pipeline)</t>
  </si>
  <si>
    <t>Step 6</t>
  </si>
  <si>
    <t>8  –  SSL Certificate – Verify &amp; Bind</t>
  </si>
  <si>
    <t>Azure Key Vault certificate versioning + manual IIS HTTPS binding</t>
  </si>
  <si>
    <t>Manual (certificate renewal cycle)</t>
  </si>
  <si>
    <t>Step 7</t>
  </si>
  <si>
    <t>9  –  Monitoring &amp; Alerting – Verify Active</t>
  </si>
  <si>
    <t>Azure Monitor native (always-on, no restore needed) + Log Analytics verification</t>
  </si>
  <si>
    <t>Real-time (continuous ingestion)</t>
  </si>
  <si>
    <t>Step 8</t>
  </si>
  <si>
    <t>9b  –  PROD Interfaces – External Connectivity Verify</t>
  </si>
  <si>
    <t>No backup/restore – external services (Vertex, AWS Cognito, AWS API). Connectivity verify only.</t>
  </si>
  <si>
    <t>N/A – External services</t>
  </si>
  <si>
    <t>Step 9</t>
  </si>
  <si>
    <t>▶  PHASE 2 – DATABASE  (Steps 10–15)</t>
  </si>
  <si>
    <t>10  –  SQL Server Service – Start &amp; Config Verify</t>
  </si>
  <si>
    <t>Windows Service auto-start config; SQL Server service account stored in KV</t>
  </si>
  <si>
    <t>N/A – Service config (on-change)</t>
  </si>
  <si>
    <t>Step 9b</t>
  </si>
  <si>
    <t>11  –  SQL Server Agent – Suspend Before Restore</t>
  </si>
  <si>
    <t>SQL Agent job scripts exported to source control; jobs suspended before restore</t>
  </si>
  <si>
    <t>On-change (job scripts versioned)</t>
  </si>
  <si>
    <t>Step 10</t>
  </si>
  <si>
    <t>12  –  SQL Database (sfam_prod_db) – Full Restore from RSV</t>
  </si>
  <si>
    <t>Azure Backup for SQL Server in Azure VM (RSV-native); Full → Diff → Log chain; PITR supported</t>
  </si>
  <si>
    <t>Full: Weekly  |  Differential: Daily  |  Transaction Log: every 15–60 min</t>
  </si>
  <si>
    <t>Step 11</t>
  </si>
  <si>
    <t>13  –  SQL Logins, Users &amp; Permissions – Re-map</t>
  </si>
  <si>
    <t>SQL scripts in source control (logins_permissions.sql); manual re-map post-restore</t>
  </si>
  <si>
    <t>On-change (after any permission modification)</t>
  </si>
  <si>
    <t>Step 12</t>
  </si>
  <si>
    <t>14  –  SQL Database Integrity &amp; Validation (DBCC)</t>
  </si>
  <si>
    <t>Manual T-SQL validation (DBCC CHECKDB) + DMV queries for performance baseline</t>
  </si>
  <si>
    <t>Post-restore (one-time validation)</t>
  </si>
  <si>
    <t>Step 13</t>
  </si>
  <si>
    <t>15  –  SQL Agent Jobs – Re-enable Post-Restore</t>
  </si>
  <si>
    <t>SQL Agent job scripts from source control; manual re-enablement via T-SQL / SSMS</t>
  </si>
  <si>
    <t>Post-restore (re-enablement)</t>
  </si>
  <si>
    <t>Step 14</t>
  </si>
  <si>
    <t>▶  PHASE 3 – APPLICATION  (Steps 16–19)</t>
  </si>
  <si>
    <t>16  –  Application Config &amp; Connection Strings</t>
  </si>
  <si>
    <t>Azure Key Vault secret versioning + Managed Identity for secretless authentication</t>
  </si>
  <si>
    <t>On-change (KV secrets versioned)</t>
  </si>
  <si>
    <t>Step 15</t>
  </si>
  <si>
    <t>17  –  C:\ &amp; E:\ Drive App Files – Verify &amp; Restore</t>
  </si>
  <si>
    <t>Azure VM Backup via RSV (crash-consistent); RSV file-level restore; Azure File Share (sfam-prod)</t>
  </si>
  <si>
    <t>Daily (RSV VM backup – both C:\ and E:\ disks captured)</t>
  </si>
  <si>
    <t>Step 16</t>
  </si>
  <si>
    <t>18  –  Application Services – Restart &amp; Health Check</t>
  </si>
  <si>
    <t>Application deployment pipeline (CI/CD) + Windows Service / IIS restart + App team runbook</t>
  </si>
  <si>
    <t>On-change (deployment pipeline)</t>
  </si>
  <si>
    <t>Step 17</t>
  </si>
  <si>
    <t>19  –  End-to-End Validation &amp; Stakeholder Sign-off</t>
  </si>
  <si>
    <t>Manual testing + automated smoke test suite + post-DR report to stakeholders</t>
  </si>
  <si>
    <t>Post-restore (one-time)</t>
  </si>
  <si>
    <t>Step 18</t>
  </si>
  <si>
    <t>GRAND TOTAL  –  Full Serial DR Restore  (19 Steps)</t>
  </si>
  <si>
    <t>Full: Weekly  |  Diff: Daily  |  Log: every 15–60 min</t>
  </si>
  <si>
    <t>–</t>
  </si>
  <si>
    <t>BMW FS Azure Recovery Services Vault — PROD Cost Analysis (Projected)</t>
  </si>
  <si>
    <t>Projection basis: UAT actuals × 1.30 (PROD expected +30% scale)  |  Resource Type: microsoft.recoveryservices/vaults  |  All costs in USD</t>
  </si>
  <si>
    <t>Subscription</t>
  </si>
  <si>
    <t>Per Day
(30-day avg)</t>
  </si>
  <si>
    <t>Per Week
(7-day actual)</t>
  </si>
  <si>
    <t>Per Month
(Actual)</t>
  </si>
  <si>
    <t>Per Month
(Projected)</t>
  </si>
  <si>
    <t>Annual Total
(Historical)</t>
  </si>
  <si>
    <t>Annual
(Projected)</t>
  </si>
  <si>
    <t>Data Range / Basis</t>
  </si>
  <si>
    <t>FS-AM-CMS-AF-UAT (Baseline Reference)</t>
  </si>
  <si>
    <t>Source: BMWFS_Azure_Backup_Cost_Analysis.xlsx</t>
  </si>
  <si>
    <t>FS-AM-CMS-AF-PROD (Projected +30%)</t>
  </si>
  <si>
    <t>UAT baseline × 1.30 uplift</t>
  </si>
  <si>
    <t>Δ  Incremental PROD Cost</t>
  </si>
  <si>
    <t>PROD minus UAT</t>
  </si>
  <si>
    <t>📌 NOTES &amp; ASSUMPTIONS:</t>
  </si>
  <si>
    <t>• UAT baseline sourced from actual Azure billing (Mar 4 – Apr 2, 2026) in BMWFS_Azure_Backup_Cost_Analysis.xlsx</t>
  </si>
  <si>
    <t>• PROD projection applies a flat +30% uplift to UAT actuals to reflect expected production scale</t>
  </si>
  <si>
    <t>• Per Day = 30-day rolling average from UAT actual daily spend, uplifted +30%</t>
  </si>
  <si>
    <t>• Per Week = Actual 7-day UAT spend (Mar 27 – Apr 2, 2026), uplifted +30%</t>
  </si>
  <si>
    <t>• Per Month (Actual) = March 2026 UAT cost from monthly billing, uplifted +30%</t>
  </si>
  <si>
    <t>• Per Month (Projected) = Per Day avg × 30.44 days, uplifted +30%</t>
  </si>
  <si>
    <t>• Annual Total (Historical) = Sum of all available UAT monthly billing, uplifted +30%</t>
  </si>
  <si>
    <t>• Annual (Projected) = Per Day avg × 365 days, uplifted +30%</t>
  </si>
  <si>
    <t>• Actual PROD costs will depend on VM count, retention policy, data change rate, and region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</si>
</sst>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;&quot;($&quot;#,##0.00\);\-"/>
  </numFmts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BDD7EE"/>
        <bgColor rgb="FFDEEAF1"/>
      </patternFill>
    </fill>
    <fill>
      <patternFill patternType="solid">
        <fgColor rgb="FFDEEAF1"/>
        <bgColor rgb="FFE7EEF7"/>
      </patternFill>
    </fill>
    <fill>
      <patternFill patternType="solid">
        <fgColor rgb="FFE7EEF7"/>
        <bgColor rgb="FFDEEAF1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4" fillId="0" borderId="0" xfId="0" applyFont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 indent="1"/>
    </xf>
    <xf numFmtId="164" fontId="11" fillId="7" borderId="2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 indent="1"/>
    </xf>
    <xf numFmtId="164" fontId="12" fillId="5" borderId="2" xfId="0" applyNumberFormat="1" applyFont="1" applyFill="1" applyBorder="1" applyAlignment="1">
      <alignment horizontal="right" vertical="center"/>
    </xf>
    <xf numFmtId="0" fontId="12" fillId="8" borderId="2" xfId="0" applyFont="1" applyFill="1" applyBorder="1" applyAlignment="1">
      <alignment horizontal="left" vertical="center" indent="1"/>
    </xf>
    <xf numFmtId="164" fontId="12" fillId="8" borderId="2" xfId="0" applyNumberFormat="1" applyFont="1" applyFill="1" applyBorder="1" applyAlignment="1">
      <alignment horizontal="right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7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Normal="100" workbookViewId="0">
      <selection sqref="A1:E1"/>
    </sheetView>
  </sheetViews>
  <sheetFormatPr defaultColWidth="8.6328125" defaultRowHeight="14.5" x14ac:dyDescent="0.35"/>
  <cols>
    <col min="1" max="1" width="46" customWidth="1"/>
    <col min="2" max="2" width="62" customWidth="1"/>
    <col min="3" max="3" width="12" customWidth="1"/>
    <col min="4" max="4" width="38" customWidth="1"/>
    <col min="5" max="5" width="16" customWidth="1"/>
  </cols>
  <sheetData>
    <row r="1" spans="1:5" ht="36" customHeight="1" x14ac:dyDescent="0.35">
      <c r="A1" s="6" t="s">
        <v>0</v>
      </c>
      <c r="B1" s="6"/>
      <c r="C1" s="6"/>
      <c r="D1" s="6"/>
      <c r="E1" s="6"/>
    </row>
    <row r="2" spans="1:5" ht="18" customHeight="1" x14ac:dyDescent="0.35">
      <c r="A2" s="5" t="s">
        <v>1</v>
      </c>
      <c r="B2" s="5"/>
      <c r="C2" s="5"/>
      <c r="D2" s="5"/>
      <c r="E2" s="5"/>
    </row>
    <row r="3" spans="1:5" ht="46.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5" ht="19.5" customHeight="1" x14ac:dyDescent="0.35">
      <c r="A4" s="4" t="s">
        <v>7</v>
      </c>
      <c r="B4" s="4"/>
      <c r="C4" s="4"/>
      <c r="D4" s="4"/>
      <c r="E4" s="4"/>
    </row>
    <row r="5" spans="1:5" ht="31.5" customHeight="1" x14ac:dyDescent="0.35">
      <c r="A5" s="8" t="s">
        <v>8</v>
      </c>
      <c r="B5" s="9" t="s">
        <v>9</v>
      </c>
      <c r="C5" s="10">
        <v>13</v>
      </c>
      <c r="D5" s="11" t="s">
        <v>10</v>
      </c>
      <c r="E5" s="12" t="s">
        <v>11</v>
      </c>
    </row>
    <row r="6" spans="1:5" ht="31.5" customHeight="1" x14ac:dyDescent="0.35">
      <c r="A6" s="13" t="s">
        <v>12</v>
      </c>
      <c r="B6" s="14" t="s">
        <v>13</v>
      </c>
      <c r="C6" s="15">
        <v>13</v>
      </c>
      <c r="D6" s="16" t="s">
        <v>14</v>
      </c>
      <c r="E6" s="17" t="s">
        <v>15</v>
      </c>
    </row>
    <row r="7" spans="1:5" ht="31.5" customHeight="1" x14ac:dyDescent="0.35">
      <c r="A7" s="8" t="s">
        <v>16</v>
      </c>
      <c r="B7" s="9" t="s">
        <v>17</v>
      </c>
      <c r="C7" s="10">
        <v>13</v>
      </c>
      <c r="D7" s="11" t="s">
        <v>18</v>
      </c>
      <c r="E7" s="12" t="s">
        <v>19</v>
      </c>
    </row>
    <row r="8" spans="1:5" ht="31.5" customHeight="1" x14ac:dyDescent="0.35">
      <c r="A8" s="13" t="s">
        <v>20</v>
      </c>
      <c r="B8" s="14" t="s">
        <v>21</v>
      </c>
      <c r="C8" s="15">
        <v>20</v>
      </c>
      <c r="D8" s="16" t="s">
        <v>22</v>
      </c>
      <c r="E8" s="17" t="s">
        <v>23</v>
      </c>
    </row>
    <row r="9" spans="1:5" ht="31.5" customHeight="1" x14ac:dyDescent="0.35">
      <c r="A9" s="8" t="s">
        <v>24</v>
      </c>
      <c r="B9" s="9" t="s">
        <v>25</v>
      </c>
      <c r="C9" s="10">
        <v>26</v>
      </c>
      <c r="D9" s="11" t="s">
        <v>26</v>
      </c>
      <c r="E9" s="12" t="s">
        <v>27</v>
      </c>
    </row>
    <row r="10" spans="1:5" ht="31.5" customHeight="1" x14ac:dyDescent="0.35">
      <c r="A10" s="13" t="s">
        <v>28</v>
      </c>
      <c r="B10" s="14" t="s">
        <v>29</v>
      </c>
      <c r="C10" s="15">
        <v>26</v>
      </c>
      <c r="D10" s="16" t="s">
        <v>26</v>
      </c>
      <c r="E10" s="17" t="s">
        <v>30</v>
      </c>
    </row>
    <row r="11" spans="1:5" ht="31.5" customHeight="1" x14ac:dyDescent="0.35">
      <c r="A11" s="8" t="s">
        <v>31</v>
      </c>
      <c r="B11" s="9" t="s">
        <v>32</v>
      </c>
      <c r="C11" s="10">
        <v>13</v>
      </c>
      <c r="D11" s="11" t="s">
        <v>33</v>
      </c>
      <c r="E11" s="12" t="s">
        <v>34</v>
      </c>
    </row>
    <row r="12" spans="1:5" ht="31.5" customHeight="1" x14ac:dyDescent="0.35">
      <c r="A12" s="13" t="s">
        <v>35</v>
      </c>
      <c r="B12" s="14" t="s">
        <v>36</v>
      </c>
      <c r="C12" s="15">
        <v>13</v>
      </c>
      <c r="D12" s="16" t="s">
        <v>37</v>
      </c>
      <c r="E12" s="17" t="s">
        <v>38</v>
      </c>
    </row>
    <row r="13" spans="1:5" ht="31.5" customHeight="1" x14ac:dyDescent="0.35">
      <c r="A13" s="8" t="s">
        <v>39</v>
      </c>
      <c r="B13" s="9" t="s">
        <v>40</v>
      </c>
      <c r="C13" s="10">
        <v>13</v>
      </c>
      <c r="D13" s="11" t="s">
        <v>41</v>
      </c>
      <c r="E13" s="12" t="s">
        <v>42</v>
      </c>
    </row>
    <row r="14" spans="1:5" ht="31.5" customHeight="1" x14ac:dyDescent="0.35">
      <c r="A14" s="13" t="s">
        <v>43</v>
      </c>
      <c r="B14" s="14" t="s">
        <v>44</v>
      </c>
      <c r="C14" s="15">
        <v>20</v>
      </c>
      <c r="D14" s="16" t="s">
        <v>45</v>
      </c>
      <c r="E14" s="17" t="s">
        <v>46</v>
      </c>
    </row>
    <row r="15" spans="1:5" ht="19.5" customHeight="1" x14ac:dyDescent="0.35">
      <c r="A15" s="4" t="s">
        <v>47</v>
      </c>
      <c r="B15" s="4"/>
      <c r="C15" s="4"/>
      <c r="D15" s="4"/>
      <c r="E15" s="4"/>
    </row>
    <row r="16" spans="1:5" ht="31.5" customHeight="1" x14ac:dyDescent="0.35">
      <c r="A16" s="8" t="s">
        <v>48</v>
      </c>
      <c r="B16" s="9" t="s">
        <v>49</v>
      </c>
      <c r="C16" s="10">
        <v>13</v>
      </c>
      <c r="D16" s="11" t="s">
        <v>50</v>
      </c>
      <c r="E16" s="12" t="s">
        <v>51</v>
      </c>
    </row>
    <row r="17" spans="1:5" ht="31.5" customHeight="1" x14ac:dyDescent="0.35">
      <c r="A17" s="13" t="s">
        <v>52</v>
      </c>
      <c r="B17" s="14" t="s">
        <v>53</v>
      </c>
      <c r="C17" s="15">
        <v>13</v>
      </c>
      <c r="D17" s="16" t="s">
        <v>54</v>
      </c>
      <c r="E17" s="17" t="s">
        <v>55</v>
      </c>
    </row>
    <row r="18" spans="1:5" ht="31.5" customHeight="1" x14ac:dyDescent="0.35">
      <c r="A18" s="8" t="s">
        <v>56</v>
      </c>
      <c r="B18" s="9" t="s">
        <v>57</v>
      </c>
      <c r="C18" s="10">
        <v>156</v>
      </c>
      <c r="D18" s="11" t="s">
        <v>58</v>
      </c>
      <c r="E18" s="12" t="s">
        <v>59</v>
      </c>
    </row>
    <row r="19" spans="1:5" ht="31.5" customHeight="1" x14ac:dyDescent="0.35">
      <c r="A19" s="13" t="s">
        <v>60</v>
      </c>
      <c r="B19" s="14" t="s">
        <v>61</v>
      </c>
      <c r="C19" s="15">
        <v>26</v>
      </c>
      <c r="D19" s="16" t="s">
        <v>62</v>
      </c>
      <c r="E19" s="17" t="s">
        <v>63</v>
      </c>
    </row>
    <row r="20" spans="1:5" ht="31.5" customHeight="1" x14ac:dyDescent="0.35">
      <c r="A20" s="8" t="s">
        <v>64</v>
      </c>
      <c r="B20" s="9" t="s">
        <v>65</v>
      </c>
      <c r="C20" s="10">
        <v>39</v>
      </c>
      <c r="D20" s="11" t="s">
        <v>66</v>
      </c>
      <c r="E20" s="12" t="s">
        <v>67</v>
      </c>
    </row>
    <row r="21" spans="1:5" ht="31.5" customHeight="1" x14ac:dyDescent="0.35">
      <c r="A21" s="13" t="s">
        <v>68</v>
      </c>
      <c r="B21" s="14" t="s">
        <v>69</v>
      </c>
      <c r="C21" s="15">
        <v>13</v>
      </c>
      <c r="D21" s="16" t="s">
        <v>70</v>
      </c>
      <c r="E21" s="17" t="s">
        <v>71</v>
      </c>
    </row>
    <row r="22" spans="1:5" ht="19.5" customHeight="1" x14ac:dyDescent="0.35">
      <c r="A22" s="4" t="s">
        <v>72</v>
      </c>
      <c r="B22" s="4"/>
      <c r="C22" s="4"/>
      <c r="D22" s="4"/>
      <c r="E22" s="4"/>
    </row>
    <row r="23" spans="1:5" ht="31.5" customHeight="1" x14ac:dyDescent="0.35">
      <c r="A23" s="8" t="s">
        <v>73</v>
      </c>
      <c r="B23" s="9" t="s">
        <v>74</v>
      </c>
      <c r="C23" s="10">
        <v>26</v>
      </c>
      <c r="D23" s="11" t="s">
        <v>75</v>
      </c>
      <c r="E23" s="12" t="s">
        <v>76</v>
      </c>
    </row>
    <row r="24" spans="1:5" ht="31.5" customHeight="1" x14ac:dyDescent="0.35">
      <c r="A24" s="13" t="s">
        <v>77</v>
      </c>
      <c r="B24" s="14" t="s">
        <v>78</v>
      </c>
      <c r="C24" s="15">
        <v>39</v>
      </c>
      <c r="D24" s="16" t="s">
        <v>79</v>
      </c>
      <c r="E24" s="17" t="s">
        <v>80</v>
      </c>
    </row>
    <row r="25" spans="1:5" ht="31.5" customHeight="1" x14ac:dyDescent="0.35">
      <c r="A25" s="8" t="s">
        <v>81</v>
      </c>
      <c r="B25" s="9" t="s">
        <v>82</v>
      </c>
      <c r="C25" s="10">
        <v>39</v>
      </c>
      <c r="D25" s="11" t="s">
        <v>83</v>
      </c>
      <c r="E25" s="12" t="s">
        <v>84</v>
      </c>
    </row>
    <row r="26" spans="1:5" ht="31.5" customHeight="1" x14ac:dyDescent="0.35">
      <c r="A26" s="13" t="s">
        <v>85</v>
      </c>
      <c r="B26" s="14" t="s">
        <v>86</v>
      </c>
      <c r="C26" s="15">
        <v>39</v>
      </c>
      <c r="D26" s="16" t="s">
        <v>87</v>
      </c>
      <c r="E26" s="17" t="s">
        <v>88</v>
      </c>
    </row>
    <row r="27" spans="1:5" ht="25.5" customHeight="1" x14ac:dyDescent="0.35">
      <c r="A27" s="3" t="s">
        <v>89</v>
      </c>
      <c r="B27" s="3"/>
      <c r="C27" s="18">
        <f>SUM(C5:C14,C16:C21,C23:C26)</f>
        <v>573</v>
      </c>
      <c r="D27" s="19" t="s">
        <v>90</v>
      </c>
      <c r="E27" s="20" t="s">
        <v>91</v>
      </c>
    </row>
  </sheetData>
  <mergeCells count="6">
    <mergeCell ref="A27:B27"/>
    <mergeCell ref="A1:E1"/>
    <mergeCell ref="A2:E2"/>
    <mergeCell ref="A4:E4"/>
    <mergeCell ref="A15:E15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Normal="100" workbookViewId="0">
      <selection activeCell="A5" sqref="A5"/>
    </sheetView>
  </sheetViews>
  <sheetFormatPr defaultColWidth="8.6328125" defaultRowHeight="14.5" x14ac:dyDescent="0.35"/>
  <cols>
    <col min="1" max="1" width="38" customWidth="1"/>
    <col min="2" max="3" width="16" customWidth="1"/>
    <col min="4" max="7" width="18" customWidth="1"/>
    <col min="8" max="8" width="30" customWidth="1"/>
  </cols>
  <sheetData>
    <row r="1" spans="1:8" ht="36" customHeight="1" x14ac:dyDescent="0.35">
      <c r="A1" s="6" t="s">
        <v>92</v>
      </c>
      <c r="B1" s="6"/>
      <c r="C1" s="6"/>
      <c r="D1" s="6"/>
      <c r="E1" s="6"/>
      <c r="F1" s="6"/>
      <c r="G1" s="6"/>
      <c r="H1" s="6"/>
    </row>
    <row r="2" spans="1:8" ht="18" customHeight="1" x14ac:dyDescent="0.35">
      <c r="A2" s="2" t="s">
        <v>93</v>
      </c>
      <c r="B2" s="2"/>
      <c r="C2" s="2"/>
      <c r="D2" s="2"/>
      <c r="E2" s="2"/>
      <c r="F2" s="2"/>
      <c r="G2" s="2"/>
      <c r="H2" s="2"/>
    </row>
    <row r="4" spans="1:8" ht="46.5" customHeight="1" x14ac:dyDescent="0.35">
      <c r="A4" s="21" t="s">
        <v>94</v>
      </c>
      <c r="B4" s="21" t="s">
        <v>95</v>
      </c>
      <c r="C4" s="21" t="s">
        <v>96</v>
      </c>
      <c r="D4" s="21" t="s">
        <v>97</v>
      </c>
      <c r="E4" s="21" t="s">
        <v>98</v>
      </c>
      <c r="F4" s="21" t="s">
        <v>99</v>
      </c>
      <c r="G4" s="21" t="s">
        <v>100</v>
      </c>
      <c r="H4" s="21" t="s">
        <v>101</v>
      </c>
    </row>
    <row r="5" spans="1:8" ht="24" customHeight="1" x14ac:dyDescent="0.35">
      <c r="A5" s="22" t="s">
        <v>102</v>
      </c>
      <c r="B5" s="23">
        <v>20.430082997944002</v>
      </c>
      <c r="C5" s="23">
        <v>164.58746533739699</v>
      </c>
      <c r="D5" s="23">
        <v>626.13627972132201</v>
      </c>
      <c r="E5" s="23">
        <v>621.89172645741496</v>
      </c>
      <c r="F5" s="23">
        <v>1649.1736701066</v>
      </c>
      <c r="G5" s="23">
        <v>7456.9802942495598</v>
      </c>
      <c r="H5" s="22" t="s">
        <v>103</v>
      </c>
    </row>
    <row r="6" spans="1:8" ht="24" customHeight="1" x14ac:dyDescent="0.35">
      <c r="A6" s="24" t="s">
        <v>104</v>
      </c>
      <c r="B6" s="25">
        <f t="shared" ref="B6:G6" si="0">B5*1.3</f>
        <v>26.559107897327202</v>
      </c>
      <c r="C6" s="25">
        <f t="shared" si="0"/>
        <v>213.9637049386161</v>
      </c>
      <c r="D6" s="25">
        <f t="shared" si="0"/>
        <v>813.9771636377186</v>
      </c>
      <c r="E6" s="25">
        <f t="shared" si="0"/>
        <v>808.45924439463943</v>
      </c>
      <c r="F6" s="25">
        <f t="shared" si="0"/>
        <v>2143.9257711385799</v>
      </c>
      <c r="G6" s="25">
        <f t="shared" si="0"/>
        <v>9694.0743825244281</v>
      </c>
      <c r="H6" s="24" t="s">
        <v>105</v>
      </c>
    </row>
    <row r="7" spans="1:8" ht="24" customHeight="1" x14ac:dyDescent="0.35">
      <c r="A7" s="26" t="s">
        <v>106</v>
      </c>
      <c r="B7" s="27">
        <f t="shared" ref="B7:G7" si="1">B6-B5</f>
        <v>6.1290248993832002</v>
      </c>
      <c r="C7" s="27">
        <f t="shared" si="1"/>
        <v>49.376239601219112</v>
      </c>
      <c r="D7" s="27">
        <f t="shared" si="1"/>
        <v>187.84088391639659</v>
      </c>
      <c r="E7" s="27">
        <f t="shared" si="1"/>
        <v>186.56751793722447</v>
      </c>
      <c r="F7" s="27">
        <f t="shared" si="1"/>
        <v>494.75210103197992</v>
      </c>
      <c r="G7" s="27">
        <f t="shared" si="1"/>
        <v>2237.0940882748682</v>
      </c>
      <c r="H7" s="26" t="s">
        <v>107</v>
      </c>
    </row>
    <row r="9" spans="1:8" x14ac:dyDescent="0.35">
      <c r="A9" s="28" t="s">
        <v>108</v>
      </c>
    </row>
    <row r="10" spans="1:8" x14ac:dyDescent="0.35">
      <c r="A10" s="1" t="s">
        <v>109</v>
      </c>
      <c r="B10" s="1"/>
      <c r="C10" s="1"/>
      <c r="D10" s="1"/>
      <c r="E10" s="1"/>
      <c r="F10" s="1"/>
      <c r="G10" s="1"/>
      <c r="H10" s="1"/>
    </row>
    <row r="11" spans="1:8" x14ac:dyDescent="0.35">
      <c r="A11" s="1" t="s">
        <v>110</v>
      </c>
      <c r="B11" s="1"/>
      <c r="C11" s="1"/>
      <c r="D11" s="1"/>
      <c r="E11" s="1"/>
      <c r="F11" s="1"/>
      <c r="G11" s="1"/>
      <c r="H11" s="1"/>
    </row>
    <row r="12" spans="1:8" x14ac:dyDescent="0.35">
      <c r="A12" s="1" t="s">
        <v>111</v>
      </c>
      <c r="B12" s="1"/>
      <c r="C12" s="1"/>
      <c r="D12" s="1"/>
      <c r="E12" s="1"/>
      <c r="F12" s="1"/>
      <c r="G12" s="1"/>
      <c r="H12" s="1"/>
    </row>
    <row r="13" spans="1:8" x14ac:dyDescent="0.35">
      <c r="A13" s="1" t="s">
        <v>112</v>
      </c>
      <c r="B13" s="1"/>
      <c r="C13" s="1"/>
      <c r="D13" s="1"/>
      <c r="E13" s="1"/>
      <c r="F13" s="1"/>
      <c r="G13" s="1"/>
      <c r="H13" s="1"/>
    </row>
    <row r="14" spans="1:8" x14ac:dyDescent="0.35">
      <c r="A14" s="1" t="s">
        <v>113</v>
      </c>
      <c r="B14" s="1"/>
      <c r="C14" s="1"/>
      <c r="D14" s="1"/>
      <c r="E14" s="1"/>
      <c r="F14" s="1"/>
      <c r="G14" s="1"/>
      <c r="H14" s="1"/>
    </row>
    <row r="15" spans="1:8" x14ac:dyDescent="0.35">
      <c r="A15" s="1" t="s">
        <v>114</v>
      </c>
      <c r="B15" s="1"/>
      <c r="C15" s="1"/>
      <c r="D15" s="1"/>
      <c r="E15" s="1"/>
      <c r="F15" s="1"/>
      <c r="G15" s="1"/>
      <c r="H15" s="1"/>
    </row>
    <row r="16" spans="1:8" x14ac:dyDescent="0.35">
      <c r="A16" s="1" t="s">
        <v>115</v>
      </c>
      <c r="B16" s="1"/>
      <c r="C16" s="1"/>
      <c r="D16" s="1"/>
      <c r="E16" s="1"/>
      <c r="F16" s="1"/>
      <c r="G16" s="1"/>
      <c r="H16" s="1"/>
    </row>
    <row r="17" spans="1:8" x14ac:dyDescent="0.35">
      <c r="A17" s="1" t="s">
        <v>116</v>
      </c>
      <c r="B17" s="1"/>
      <c r="C17" s="1"/>
      <c r="D17" s="1"/>
      <c r="E17" s="1"/>
      <c r="F17" s="1"/>
      <c r="G17" s="1"/>
      <c r="H17" s="1"/>
    </row>
    <row r="18" spans="1:8" x14ac:dyDescent="0.35">
      <c r="A18" s="1" t="s">
        <v>117</v>
      </c>
      <c r="B18" s="1"/>
      <c r="C18" s="1"/>
      <c r="D18" s="1"/>
      <c r="E18" s="1"/>
      <c r="F18" s="1"/>
      <c r="G18" s="1"/>
      <c r="H18" s="1"/>
    </row>
  </sheetData>
  <mergeCells count="11">
    <mergeCell ref="A18:H18"/>
    <mergeCell ref="A13:H13"/>
    <mergeCell ref="A14:H14"/>
    <mergeCell ref="A15:H15"/>
    <mergeCell ref="A16:H16"/>
    <mergeCell ref="A17:H17"/>
    <mergeCell ref="A1:H1"/>
    <mergeCell ref="A2:H2"/>
    <mergeCell ref="A10:H10"/>
    <mergeCell ref="A11:H11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2026-04-16T15:38:38Z</dcterms:created>
  <dcterms:modified xsi:type="dcterms:W3CDTF">2026-04-16T15:46:47Z</dcterms:modified>
  <dc:language>en-US</dc:language>
</cp:coreProperties>
</file>