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zure Security JIRA Ticket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FFFF"/>
    </font>
    <font>
      <b val="1"/>
      <color rgb="000066CC"/>
      <sz val="12"/>
    </font>
    <font>
      <b val="1"/>
    </font>
    <font>
      <b val="1"/>
      <u val="single"/>
    </font>
  </fonts>
  <fills count="8">
    <fill>
      <patternFill/>
    </fill>
    <fill>
      <patternFill patternType="gray125"/>
    </fill>
    <fill>
      <patternFill patternType="solid">
        <fgColor rgb="000066CC"/>
        <bgColor rgb="000066CC"/>
      </patternFill>
    </fill>
    <fill>
      <patternFill patternType="solid">
        <fgColor rgb="00FFA500"/>
        <bgColor rgb="00FFA500"/>
      </patternFill>
    </fill>
    <fill>
      <patternFill patternType="solid">
        <fgColor rgb="00FFFACD"/>
        <bgColor rgb="00FFFACD"/>
      </patternFill>
    </fill>
    <fill>
      <patternFill patternType="solid">
        <fgColor rgb="00D3D3D3"/>
        <bgColor rgb="00D3D3D3"/>
      </patternFill>
    </fill>
    <fill>
      <patternFill patternType="solid">
        <fgColor rgb="00FFFF00"/>
        <bgColor rgb="00FFFF00"/>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45" customWidth="1" min="3" max="3"/>
    <col width="60" customWidth="1" min="4" max="4"/>
    <col width="60" customWidth="1" min="5" max="5"/>
    <col width="10" customWidth="1" min="6" max="6"/>
    <col width="12" customWidth="1" min="7" max="7"/>
    <col width="20" customWidth="1" min="8" max="8"/>
    <col width="15" customWidth="1" min="9" max="9"/>
    <col width="12" customWidth="1" min="10" max="10"/>
    <col width="12" customWidth="1" min="11" max="11"/>
  </cols>
  <sheetData>
    <row r="1">
      <c r="A1" s="1" t="inlineStr">
        <is>
          <t>Ticket ID</t>
        </is>
      </c>
      <c r="B1" s="1" t="inlineStr">
        <is>
          <t>Resource Type</t>
        </is>
      </c>
      <c r="C1" s="1" t="inlineStr">
        <is>
          <t>Task Summary</t>
        </is>
      </c>
      <c r="D1" s="1" t="inlineStr">
        <is>
          <t>Task Description</t>
        </is>
      </c>
      <c r="E1" s="1" t="inlineStr">
        <is>
          <t>Acceptance Criteria</t>
        </is>
      </c>
      <c r="F1" s="1" t="inlineStr">
        <is>
          <t>Priority</t>
        </is>
      </c>
      <c r="G1" s="1" t="inlineStr">
        <is>
          <t>Story Points</t>
        </is>
      </c>
      <c r="H1" s="1" t="inlineStr">
        <is>
          <t>Assignee</t>
        </is>
      </c>
      <c r="I1" s="1" t="inlineStr">
        <is>
          <t>Assigned Day</t>
        </is>
      </c>
      <c r="J1" s="1" t="inlineStr">
        <is>
          <t>Due Date</t>
        </is>
      </c>
      <c r="K1" s="1" t="inlineStr">
        <is>
          <t>Status</t>
        </is>
      </c>
    </row>
    <row r="2">
      <c r="A2" s="2" t="inlineStr">
        <is>
          <t>AZ-SEC-001</t>
        </is>
      </c>
      <c r="B2" s="2" t="inlineStr">
        <is>
          <t>Storage Account</t>
        </is>
      </c>
      <c r="C2" s="3" t="inlineStr">
        <is>
          <t>Implement Storage Account Security in Terraform Module</t>
        </is>
      </c>
      <c r="D2" s="3" t="inlineStr">
        <is>
          <t>1. Review existing Terraform module for storage account
2. Add encryption at rest configuration with CMK support
3. Implement network rules and firewall settings
4. Configure secure transfer requirement (HTTPS only)
5. Add SAS policy restrictions and expiry settings
6. Implement blob versioning and soft delete
7. Configure access tier and lifecycle management
8. Update module variables and outputs
9. Update module documentation with examples
10. Create unit tests for module validation</t>
        </is>
      </c>
      <c r="E2" s="3" t="inlineStr">
        <is>
          <t>1. Terraform plan executes successfully without errors
2. All security configurations (encryption, firewall, HTTPS) validated in plan output
3. Module supports both new and existing storage accounts
4. Variables have proper validation and defaults
5. Outputs expose necessary resource attributes
6. Documentation includes security configuration examples
7. Code follows Terraform best practices and style guide
8. Module is reusable across environments</t>
        </is>
      </c>
      <c r="F2" s="4" t="inlineStr">
        <is>
          <t>High</t>
        </is>
      </c>
      <c r="G2" s="2" t="n">
        <v>13</v>
      </c>
      <c r="H2" s="5" t="inlineStr"/>
      <c r="I2" s="2" t="inlineStr">
        <is>
          <t>2026-02-09</t>
        </is>
      </c>
      <c r="J2" s="2" t="inlineStr">
        <is>
          <t>2026-02-16</t>
        </is>
      </c>
      <c r="K2" s="6" t="inlineStr">
        <is>
          <t>To Do</t>
        </is>
      </c>
    </row>
    <row r="3">
      <c r="A3" s="2" t="inlineStr">
        <is>
          <t>AZ-SEC-002</t>
        </is>
      </c>
      <c r="B3" s="2" t="inlineStr">
        <is>
          <t>Storage Account</t>
        </is>
      </c>
      <c r="C3" s="3" t="inlineStr">
        <is>
          <t>Terraform Testing Phase - Storage Account Module</t>
        </is>
      </c>
      <c r="D3" s="3" t="inlineStr">
        <is>
          <t>1. Set up Terratest framework for Go-based testing
2. Create test cases for basic storage account creation
3. Test encryption configurations (Microsoft/Customer managed keys)
4. Validate network rules and firewall restrictions
5. Test HTTPS enforcement and secure transfer
6. Validate SAS token policies and restrictions
7. Run terraform validate, plan, and apply in CI/CD
8. Test module with different variable combinations
9. Perform terraform destroy and verify cleanup
10. Document test results and coverage
11. Fix any issues found during testing</t>
        </is>
      </c>
      <c r="E3" s="3" t="inlineStr">
        <is>
          <t>1. CI/CD pipeline runs successfully for all test scenarios
2. Terraform validate passes without errors
3. Terraform plan shows expected resource configuration
4. Terraform apply creates resources successfully
5. All security features validated in Azure portal
6. Terraform destroy removes all resources cleanly
7. Test coverage includes edge cases and error scenarios
8. No state file corruption or drift detected
9. Module tested in dev/staging environments
10. Test documentation complete with screenshots</t>
        </is>
      </c>
      <c r="F3" s="4" t="inlineStr">
        <is>
          <t>High</t>
        </is>
      </c>
      <c r="G3" s="2" t="n">
        <v>8</v>
      </c>
      <c r="H3" s="5" t="inlineStr"/>
      <c r="I3" s="2" t="inlineStr">
        <is>
          <t>2026-02-10</t>
        </is>
      </c>
      <c r="J3" s="2" t="inlineStr">
        <is>
          <t>2026-02-17</t>
        </is>
      </c>
      <c r="K3" s="6" t="inlineStr">
        <is>
          <t>To Do</t>
        </is>
      </c>
    </row>
    <row r="4">
      <c r="A4" s="2" t="inlineStr">
        <is>
          <t>AZ-SEC-003</t>
        </is>
      </c>
      <c r="B4" s="2" t="inlineStr">
        <is>
          <t>Storage Account</t>
        </is>
      </c>
      <c r="C4" s="3" t="inlineStr">
        <is>
          <t>Add Advanced Threat Protection to Storage Module</t>
        </is>
      </c>
      <c r="D4" s="3" t="inlineStr">
        <is>
          <t>1. Research ATP configuration requirements for storage
2. Add azurerm_advanced_threat_protection resource
3. Configure diagnostic settings for security logs
4. Implement Log Analytics workspace integration
5. Add variables for ATP enablement and configuration
6. Configure security alerts and action groups
7. Add resource not present in current module
8. Update module outputs for ATP resource
9. Update documentation with ATP examples</t>
        </is>
      </c>
      <c r="E4" s="3" t="inlineStr">
        <is>
          <t>1. Terraform plan shows ATP resource creation
2. Diagnostic settings configured correctly in plan
3. Log Analytics workspace linked properly
4. Variables properly defined with validation
5. Alert rules configured for security events
6. No breaking changes to existing resources
7. Plan output reviewed and approved by security team</t>
        </is>
      </c>
      <c r="F4" s="7" t="inlineStr">
        <is>
          <t>Medium</t>
        </is>
      </c>
      <c r="G4" s="2" t="n">
        <v>8</v>
      </c>
      <c r="H4" s="5" t="inlineStr"/>
      <c r="I4" s="2" t="inlineStr">
        <is>
          <t>2026-02-11</t>
        </is>
      </c>
      <c r="J4" s="2" t="inlineStr">
        <is>
          <t>2026-02-18</t>
        </is>
      </c>
      <c r="K4" s="6" t="inlineStr">
        <is>
          <t>To Do</t>
        </is>
      </c>
    </row>
    <row r="5">
      <c r="A5" s="2" t="inlineStr">
        <is>
          <t>AZ-SEC-004</t>
        </is>
      </c>
      <c r="B5" s="2" t="inlineStr">
        <is>
          <t>Storage Account</t>
        </is>
      </c>
      <c r="C5" s="3" t="inlineStr">
        <is>
          <t>Terraform Testing Phase - Storage ATP and Monitoring</t>
        </is>
      </c>
      <c r="D5" s="3" t="inlineStr">
        <is>
          <t>1. Create test cases for ATP functionality
2. Validate diagnostic settings deployment
3. Test Log Analytics workspace integration
4. Verify security alert configurations
5. Test ATP with simulated threat scenarios
6. Run integration tests in CI/CD pipeline
7. Validate monitoring data flow to Log Analytics
8. Test alert triggering and notifications
9. Perform end-to-end security validation
10. Document ATP testing procedures</t>
        </is>
      </c>
      <c r="E5" s="3" t="inlineStr">
        <is>
          <t>1. ATP enabled and functional in test environment
2. Diagnostic logs flowing to Log Analytics
3. Security alerts trigger correctly for test scenarios
4. CI/CD pipeline validates ATP configuration
5. Terraform plan and apply execute without errors
6. Monitoring data visible in Azure portal
7. Integration tests pass in automated pipeline
8. Documentation updated with test results</t>
        </is>
      </c>
      <c r="F5" s="7" t="inlineStr">
        <is>
          <t>Medium</t>
        </is>
      </c>
      <c r="G5" s="2" t="n">
        <v>5</v>
      </c>
      <c r="H5" s="5" t="inlineStr"/>
      <c r="I5" s="2" t="inlineStr">
        <is>
          <t>2026-02-12</t>
        </is>
      </c>
      <c r="J5" s="2" t="inlineStr">
        <is>
          <t>2026-02-19</t>
        </is>
      </c>
      <c r="K5" s="6" t="inlineStr">
        <is>
          <t>To Do</t>
        </is>
      </c>
    </row>
    <row r="6">
      <c r="A6" s="2" t="inlineStr">
        <is>
          <t>AZ-SEC-005</t>
        </is>
      </c>
      <c r="B6" s="2" t="inlineStr">
        <is>
          <t>Virtual Machine</t>
        </is>
      </c>
      <c r="C6" s="3" t="inlineStr">
        <is>
          <t>Enhance VM Terraform Module with Security Extensions</t>
        </is>
      </c>
      <c r="D6" s="3" t="inlineStr">
        <is>
          <t>1. Add Azure Disk Encryption to VM module
2. Implement Key Vault integration for encryption keys
3. Add Microsoft Antimalware extension resource
4. Configure VM diagnostic settings and boot diagnostics
5. Add managed identity configuration (system/user assigned)
6. Update NSG rules with security best practices
7. Implement Azure Security Center integration
8. Add VM backup protection configuration
9. Create variables for all security features
10. Update outputs to expose security resources
11. Document security extension configuration</t>
        </is>
      </c>
      <c r="E6" s="3" t="inlineStr">
        <is>
          <t>1. Terraform plan includes all security extensions
2. Disk encryption parameters validated with Key Vault
3. Antimalware extension configured with update settings
4. Managed identity properly created and assigned
5. NSG rules follow least privilege principle
6. Diagnostic settings capture all required logs
7. Module supports Windows and Linux VMs
8. Variables have proper types and validation
9. Documentation includes security hardening guide</t>
        </is>
      </c>
      <c r="F6" s="8" t="inlineStr">
        <is>
          <t>Critical</t>
        </is>
      </c>
      <c r="G6" s="2" t="n">
        <v>13</v>
      </c>
      <c r="H6" s="5" t="inlineStr"/>
      <c r="I6" s="2" t="inlineStr">
        <is>
          <t>2026-02-13</t>
        </is>
      </c>
      <c r="J6" s="2" t="inlineStr">
        <is>
          <t>2026-02-20</t>
        </is>
      </c>
      <c r="K6" s="6" t="inlineStr">
        <is>
          <t>To Do</t>
        </is>
      </c>
    </row>
    <row r="7">
      <c r="A7" s="2" t="inlineStr">
        <is>
          <t>AZ-SEC-006</t>
        </is>
      </c>
      <c r="B7" s="2" t="inlineStr">
        <is>
          <t>Virtual Machine</t>
        </is>
      </c>
      <c r="C7" s="3" t="inlineStr">
        <is>
          <t>Terraform Testing Phase - VM Security Module</t>
        </is>
      </c>
      <c r="D7" s="3" t="inlineStr">
        <is>
          <t>1. Set up VM testing environment in Azure DevOps/GitHub Actions
2. Create test cases for Windows and Linux VMs
3. Test disk encryption with different key configurations
4. Validate antimalware extension deployment and updates
5. Test managed identity assignment and RBAC
6. Validate NSG rules and network connectivity
7. Test diagnostic settings and log collection
8. Run terraform validate, plan, apply in CI/CD
9. Verify VM accessibility and security posture
10. Test backup protection configuration
11. Perform terraform destroy and cleanup validation
12. Generate test coverage report</t>
        </is>
      </c>
      <c r="E7" s="3" t="inlineStr">
        <is>
          <t>1. CI/CD pipeline executes all VM test scenarios
2. Both Windows and Linux VMs deploy successfully
3. Disk encryption verified in Azure portal
4. Antimalware extension running and updating
5. Managed identity functional with role assignments
6. NSG rules validated with connectivity tests
7. Diagnostic logs flowing to storage/Log Analytics
8. Terraform state consistent across apply/destroy cycles
9. No orphaned resources after destroy
10. Test results documented with evidence</t>
        </is>
      </c>
      <c r="F7" s="8" t="inlineStr">
        <is>
          <t>Critical</t>
        </is>
      </c>
      <c r="G7" s="2" t="n">
        <v>10</v>
      </c>
      <c r="H7" s="5" t="inlineStr"/>
      <c r="I7" s="2" t="inlineStr">
        <is>
          <t>2026-02-14</t>
        </is>
      </c>
      <c r="J7" s="2" t="inlineStr">
        <is>
          <t>2026-02-21</t>
        </is>
      </c>
      <c r="K7" s="6" t="inlineStr">
        <is>
          <t>To Do</t>
        </is>
      </c>
    </row>
    <row r="8">
      <c r="A8" s="2" t="inlineStr">
        <is>
          <t>AZ-SEC-007</t>
        </is>
      </c>
      <c r="B8" s="2" t="inlineStr">
        <is>
          <t>Virtual Machine</t>
        </is>
      </c>
      <c r="C8" s="3" t="inlineStr">
        <is>
          <t>Implement VM Backup Configuration in Terraform</t>
        </is>
      </c>
      <c r="D8" s="3" t="inlineStr">
        <is>
          <t>1. Add azurerm_recovery_services_vault resource
2. Configure backup policy resource with retention rules
3. Add azurerm_backup_protected_vm resource
4. Link VMs to Recovery Services Vault
5. Implement daily/weekly/monthly retention policies
6. Add variables for backup schedule and retention
7. Configure instant restore settings
8. Add backup vault diagnostic settings
9. Test dependencies between vault, policy, and VMs
10. Document backup configuration and restore procedures</t>
        </is>
      </c>
      <c r="E8" s="3" t="inlineStr">
        <is>
          <t>1. Terraform plan shows vault and policy creation
2. VM backup association configured correctly
3. Retention policies match compliance requirements
4. All resource dependencies resolved in plan
5. Backup schedules configured as per requirements
6. Instant restore enabled for quick recovery
7. Plan approved by backup admin team</t>
        </is>
      </c>
      <c r="F8" s="4" t="inlineStr">
        <is>
          <t>High</t>
        </is>
      </c>
      <c r="G8" s="2" t="n">
        <v>10</v>
      </c>
      <c r="H8" s="5" t="inlineStr"/>
      <c r="I8" s="2" t="inlineStr">
        <is>
          <t>2026-02-15</t>
        </is>
      </c>
      <c r="J8" s="2" t="inlineStr">
        <is>
          <t>2026-02-22</t>
        </is>
      </c>
      <c r="K8" s="6" t="inlineStr">
        <is>
          <t>To Do</t>
        </is>
      </c>
    </row>
    <row r="9">
      <c r="A9" s="2" t="inlineStr">
        <is>
          <t>AZ-SEC-008</t>
        </is>
      </c>
      <c r="B9" s="2" t="inlineStr">
        <is>
          <t>Virtual Machine</t>
        </is>
      </c>
      <c r="C9" s="3" t="inlineStr">
        <is>
          <t>Terraform Testing Phase - VM Backup Configuration</t>
        </is>
      </c>
      <c r="D9" s="3" t="inlineStr">
        <is>
          <t>1. Create test VMs for backup validation
2. Deploy Recovery Services Vault via Terraform
3. Test backup policy creation and assignment
4. Validate VM protection enablement
5. Trigger manual backup and verify completion
6. Test backup retention policy enforcement
7. Validate backup data in vault
8. Run CI/CD pipeline for backup configuration
9. Test backup alerts and monitoring
10. Document backup testing procedures and results</t>
        </is>
      </c>
      <c r="E9" s="3" t="inlineStr">
        <is>
          <t>1. Backup vault created successfully via Terraform
2. VMs protected with correct backup policy
3. Manual backup completes without errors
4. Backup data visible in Recovery Services Vault
5. Retention policies applied correctly
6. CI/CD pipeline validates backup setup
7. Terraform apply and destroy work correctly
8. Backup monitoring and alerts functional</t>
        </is>
      </c>
      <c r="F9" s="4" t="inlineStr">
        <is>
          <t>High</t>
        </is>
      </c>
      <c r="G9" s="2" t="n">
        <v>8</v>
      </c>
      <c r="H9" s="5" t="inlineStr"/>
      <c r="I9" s="2" t="inlineStr">
        <is>
          <t>2026-02-16</t>
        </is>
      </c>
      <c r="J9" s="2" t="inlineStr">
        <is>
          <t>2026-02-23</t>
        </is>
      </c>
      <c r="K9" s="6" t="inlineStr">
        <is>
          <t>To Do</t>
        </is>
      </c>
    </row>
    <row r="10">
      <c r="A10" s="2" t="inlineStr">
        <is>
          <t>AZ-SEC-009</t>
        </is>
      </c>
      <c r="B10" s="2" t="inlineStr">
        <is>
          <t>Virtual Machine</t>
        </is>
      </c>
      <c r="C10" s="3" t="inlineStr">
        <is>
          <t>Add VM Monitoring and Security Center Integration</t>
        </is>
      </c>
      <c r="D10" s="3" t="inlineStr">
        <is>
          <t>1. Configure Log Analytics workspace integration
2. Add Microsoft Monitoring Agent extension
3. Add Dependency Agent for VM Insights
4. Implement Azure Security Center recommendations
5. Configure VM insights and performance monitoring
6. Add diagnostic settings for VM metrics and logs
7. Create Azure Monitor alerts for VM health
8. Add action groups for alert notifications
9. Configure update management integration
10. Document monitoring setup and alert procedures</t>
        </is>
      </c>
      <c r="E10" s="3" t="inlineStr">
        <is>
          <t>1. Terraform plan includes all monitoring resources
2. Log Analytics workspace properly configured
3. Monitoring agents deployed on all VMs
4. Security Center integration validated
5. VM Insights enabled and collecting data
6. Diagnostic settings complete in plan
7. Alert rules created for critical metrics
8. Action groups configured for notifications</t>
        </is>
      </c>
      <c r="F10" s="7" t="inlineStr">
        <is>
          <t>Medium</t>
        </is>
      </c>
      <c r="G10" s="2" t="n">
        <v>8</v>
      </c>
      <c r="H10" s="5" t="inlineStr"/>
      <c r="I10" s="2" t="inlineStr">
        <is>
          <t>2026-02-17</t>
        </is>
      </c>
      <c r="J10" s="2" t="inlineStr">
        <is>
          <t>2026-02-24</t>
        </is>
      </c>
      <c r="K10" s="6" t="inlineStr">
        <is>
          <t>To Do</t>
        </is>
      </c>
    </row>
    <row r="11">
      <c r="A11" s="2" t="inlineStr">
        <is>
          <t>AZ-SEC-010</t>
        </is>
      </c>
      <c r="B11" s="2" t="inlineStr">
        <is>
          <t>Virtual Machine</t>
        </is>
      </c>
      <c r="C11" s="3" t="inlineStr">
        <is>
          <t>Terraform Testing Phase - VM Monitoring Setup</t>
        </is>
      </c>
      <c r="D11" s="3" t="inlineStr">
        <is>
          <t>1. Deploy monitoring configuration via Terraform
2. Validate Log Analytics workspace creation
3. Test monitoring agent installation on VMs
4. Verify VM Insights data collection
5. Test Azure Monitor alert triggering
6. Validate action group notifications
7. Check Security Center recommendations
8. Run CI/CD pipeline for monitoring config
9. Test monitoring data queries in Log Analytics
10. Validate diagnostic settings and metrics
11. Document monitoring validation results</t>
        </is>
      </c>
      <c r="E11" s="3" t="inlineStr">
        <is>
          <t>1. Monitoring agents installed and reporting
2. VM Insights data visible in Azure portal
3. Log Analytics receiving VM telemetry
4. Alerts trigger correctly for test conditions
5. Action groups send notifications successfully
6. Security Center shows VM security posture
7. CI/CD pipeline validates monitoring setup
8. Terraform plan and apply execute cleanly
9. Monitoring queries return expected data</t>
        </is>
      </c>
      <c r="F11" s="7" t="inlineStr">
        <is>
          <t>Medium</t>
        </is>
      </c>
      <c r="G11" s="2" t="n">
        <v>5</v>
      </c>
      <c r="H11" s="5" t="inlineStr"/>
      <c r="I11" s="2" t="inlineStr">
        <is>
          <t>2026-02-18</t>
        </is>
      </c>
      <c r="J11" s="2" t="inlineStr">
        <is>
          <t>2026-02-25</t>
        </is>
      </c>
      <c r="K11" s="6" t="inlineStr">
        <is>
          <t>To Do</t>
        </is>
      </c>
    </row>
    <row r="12">
      <c r="A12" s="2" t="inlineStr">
        <is>
          <t>AZ-SEC-011</t>
        </is>
      </c>
      <c r="B12" s="2" t="inlineStr">
        <is>
          <t>Backup Vault</t>
        </is>
      </c>
      <c r="C12" s="3" t="inlineStr">
        <is>
          <t>Create Comprehensive Backup Vault Terraform Module</t>
        </is>
      </c>
      <c r="D12" s="3" t="inlineStr">
        <is>
          <t>1. Design module structure for Recovery Services Vault
2. Implement vault resource with security settings
3. Add backup policies for VMs, SQL, and file shares
4. Configure soft delete and security features
5. Add enhanced security features (MFA, immutability)
6. Configure vault diagnostic settings
7. Add private endpoint for vault access
8. Create backup items and protection groups
9. Implement cross-region restore configuration
10. Add variables for all vault settings
11. Update documentation with backup strategies</t>
        </is>
      </c>
      <c r="E12" s="3" t="inlineStr">
        <is>
          <t>1. Terraform plan creates vault with all security features
2. Backup policies configured for multiple workload types
3. Soft delete and purge protection enabled
4. MFA configuration validated for critical operations
5. Private endpoint configured correctly
6. Cross-region restore enabled if required
7. Plan shows proper resource dependencies
8. No errors or warnings in plan output
9. Module supports multiple backup scenarios</t>
        </is>
      </c>
      <c r="F12" s="4" t="inlineStr">
        <is>
          <t>High</t>
        </is>
      </c>
      <c r="G12" s="2" t="n">
        <v>13</v>
      </c>
      <c r="H12" s="5" t="inlineStr"/>
      <c r="I12" s="2" t="inlineStr">
        <is>
          <t>2026-02-19</t>
        </is>
      </c>
      <c r="J12" s="2" t="inlineStr">
        <is>
          <t>2026-02-26</t>
        </is>
      </c>
      <c r="K12" s="6" t="inlineStr">
        <is>
          <t>To Do</t>
        </is>
      </c>
    </row>
    <row r="13">
      <c r="A13" s="2" t="inlineStr">
        <is>
          <t>AZ-SEC-012</t>
        </is>
      </c>
      <c r="B13" s="2" t="inlineStr">
        <is>
          <t>Backup Vault</t>
        </is>
      </c>
      <c r="C13" s="3" t="inlineStr">
        <is>
          <t>Terraform Testing Phase - Backup Vault Module</t>
        </is>
      </c>
      <c r="D13" s="3" t="inlineStr">
        <is>
          <t>1. Deploy Recovery Services Vault via Terraform
2. Test backup policy creation for different workloads
3. Validate soft delete functionality
4. Test MFA enforcement for critical operations
5. Validate private endpoint connectivity
6. Test cross-region restore capability
7. Run backup operations and verify completion
8. Test restore operations from backup
9. Validate vault diagnostic logs
10. Run CI/CD pipeline for vault configuration
11. Test terraform destroy with protected items
12. Document test results and restore procedures</t>
        </is>
      </c>
      <c r="E13" s="3" t="inlineStr">
        <is>
          <t>1. Vault deployed successfully via Terraform
2. All backup policies created correctly
3. Soft delete prevents accidental deletion
4. MFA prompts appear for critical operations
5. Private endpoint accessible from VNet
6. Cross-region restore functional
7. Backup and restore operations successful
8. Diagnostic logs captured properly
9. CI/CD pipeline passes all stages
10. Terraform state management working correctly</t>
        </is>
      </c>
      <c r="F13" s="4" t="inlineStr">
        <is>
          <t>High</t>
        </is>
      </c>
      <c r="G13" s="2" t="n">
        <v>8</v>
      </c>
      <c r="H13" s="5" t="inlineStr"/>
      <c r="I13" s="2" t="inlineStr">
        <is>
          <t>2026-02-20</t>
        </is>
      </c>
      <c r="J13" s="2" t="inlineStr">
        <is>
          <t>2026-02-27</t>
        </is>
      </c>
      <c r="K13" s="6" t="inlineStr">
        <is>
          <t>To Do</t>
        </is>
      </c>
    </row>
    <row r="14">
      <c r="A14" s="2" t="inlineStr">
        <is>
          <t>AZ-SEC-013</t>
        </is>
      </c>
      <c r="B14" s="2" t="inlineStr">
        <is>
          <t>Backup Vault</t>
        </is>
      </c>
      <c r="C14" s="3" t="inlineStr">
        <is>
          <t>Implement Backup Vault Diagnostic and Monitoring</t>
        </is>
      </c>
      <c r="D14" s="3" t="inlineStr">
        <is>
          <t>1. Add diagnostic settings to vault resource
2. Configure backup reports and metrics
3. Implement Azure Monitor alerts for backup failures
4. Add Log Analytics integration for backup logs
5. Create action groups for backup notifications
6. Configure backup job monitoring
7. Add retention policy compliance monitoring
8. Create backup health dashboard
9. Update module with monitoring variables
10. Document monitoring and alerting setup</t>
        </is>
      </c>
      <c r="E14" s="3" t="inlineStr">
        <is>
          <t>1. Diagnostic settings present in plan
2. All metrics and logs configured correctly
3. Alert rules validated for backup failures
4. Action groups properly configured
5. Backup reports enabled in vault
6. Log Analytics receiving backup data
7. Dashboard shows backup health status</t>
        </is>
      </c>
      <c r="F14" s="7" t="inlineStr">
        <is>
          <t>Medium</t>
        </is>
      </c>
      <c r="G14" s="2" t="n">
        <v>8</v>
      </c>
      <c r="H14" s="5" t="inlineStr"/>
      <c r="I14" s="2" t="inlineStr">
        <is>
          <t>2026-02-21</t>
        </is>
      </c>
      <c r="J14" s="2" t="inlineStr">
        <is>
          <t>2026-02-28</t>
        </is>
      </c>
      <c r="K14" s="6" t="inlineStr">
        <is>
          <t>To Do</t>
        </is>
      </c>
    </row>
    <row r="15">
      <c r="A15" s="2" t="inlineStr">
        <is>
          <t>AZ-SEC-014</t>
        </is>
      </c>
      <c r="B15" s="2" t="inlineStr">
        <is>
          <t>Backup Vault</t>
        </is>
      </c>
      <c r="C15" s="3" t="inlineStr">
        <is>
          <t>Terraform Testing Phase - Backup Monitoring</t>
        </is>
      </c>
      <c r="D15" s="3" t="inlineStr">
        <is>
          <t>1. Deploy backup monitoring configuration
2. Validate diagnostic settings deployment
3. Test backup failure alerts
4. Verify Log Analytics integration
5. Test action group notifications
6. Validate backup reports generation
7. Test monitoring queries and dashboards
8. Run CI/CD pipeline for monitoring setup
9. Simulate backup failures and verify alerts
10. Document monitoring validation results</t>
        </is>
      </c>
      <c r="E15" s="3" t="inlineStr">
        <is>
          <t>1. Diagnostic logs flowing to Log Analytics
2. Backup alerts trigger for failures
3. Action groups send notifications
4. Backup reports accessible in portal
5. CI/CD pipeline validates monitoring
6. Dashboards display backup metrics
7. Terraform apply completes successfully
8. Monitoring tests pass in pipeline</t>
        </is>
      </c>
      <c r="F15" s="7" t="inlineStr">
        <is>
          <t>Medium</t>
        </is>
      </c>
      <c r="G15" s="2" t="n">
        <v>5</v>
      </c>
      <c r="H15" s="5" t="inlineStr"/>
      <c r="I15" s="2" t="inlineStr">
        <is>
          <t>2026-02-22</t>
        </is>
      </c>
      <c r="J15" s="2" t="inlineStr">
        <is>
          <t>2026-03-01</t>
        </is>
      </c>
      <c r="K15" s="6" t="inlineStr">
        <is>
          <t>To Do</t>
        </is>
      </c>
    </row>
    <row r="16">
      <c r="A16" s="2" t="inlineStr">
        <is>
          <t>AZ-SEC-015</t>
        </is>
      </c>
      <c r="B16" s="2" t="inlineStr">
        <is>
          <t>Key Vault</t>
        </is>
      </c>
      <c r="C16" s="3" t="inlineStr">
        <is>
          <t>Build Secure Key Vault Terraform Module</t>
        </is>
      </c>
      <c r="D16" s="3" t="inlineStr">
        <is>
          <t>1. Create Key Vault resource with security baseline
2. Implement RBAC-based access control
3. Add access policies for service principals
4. Configure network ACLs and IP restrictions
5. Add private endpoint configuration
6. Configure soft delete and purge protection
7. Implement key rotation policies
8. Add diagnostic settings for audit logging
9. Configure Advanced Threat Protection
10. Add variables for all security settings
11. Update outputs for vault and keys
12. Document Key Vault security configuration</t>
        </is>
      </c>
      <c r="E16" s="3" t="inlineStr">
        <is>
          <t>1. Terraform plan creates vault with all security features
2. RBAC roles assigned correctly
3. Access policies follow least privilege principle
4. Network restrictions properly configured
5. Private endpoint created and linked
6. Purge protection and soft delete enabled
7. Key rotation policies validated
8. Diagnostic logging configured
9. Module supports multiple access scenarios</t>
        </is>
      </c>
      <c r="F16" s="8" t="inlineStr">
        <is>
          <t>Critical</t>
        </is>
      </c>
      <c r="G16" s="2" t="n">
        <v>13</v>
      </c>
      <c r="H16" s="5" t="inlineStr"/>
      <c r="I16" s="2" t="inlineStr">
        <is>
          <t>2026-02-23</t>
        </is>
      </c>
      <c r="J16" s="2" t="inlineStr">
        <is>
          <t>2026-03-02</t>
        </is>
      </c>
      <c r="K16" s="6" t="inlineStr">
        <is>
          <t>To Do</t>
        </is>
      </c>
    </row>
    <row r="17">
      <c r="A17" s="2" t="inlineStr">
        <is>
          <t>AZ-SEC-016</t>
        </is>
      </c>
      <c r="B17" s="2" t="inlineStr">
        <is>
          <t>Key Vault</t>
        </is>
      </c>
      <c r="C17" s="3" t="inlineStr">
        <is>
          <t>Terraform Testing Phase - Key Vault Security Module</t>
        </is>
      </c>
      <c r="D17" s="3" t="inlineStr">
        <is>
          <t>1. Deploy Key Vault via Terraform in test environment
2. Test RBAC role assignments and permissions
3. Validate access policy configurations
4. Test network ACL restrictions
5. Validate private endpoint connectivity
6. Test soft delete and purge protection
7. Verify diagnostic logging to Log Analytics
8. Test key/secret/certificate operations
9. Run CI/CD pipeline for Key Vault deployment
10. Test access from different identities
11. Validate terraform destroy with purge protection
12. Document security validation results</t>
        </is>
      </c>
      <c r="E17" s="3" t="inlineStr">
        <is>
          <t>1. Key Vault deployed successfully
2. RBAC permissions working as expected
3. Access policies enforced correctly
4. Network restrictions block unauthorized access
5. Private endpoint accessible from VNet only
6. Soft delete protects against accidental deletion
7. Audit logs captured in Log Analytics
8. Key/secret operations functional
9. CI/CD pipeline passes all tests
10. Terraform state consistent</t>
        </is>
      </c>
      <c r="F17" s="8" t="inlineStr">
        <is>
          <t>Critical</t>
        </is>
      </c>
      <c r="G17" s="2" t="n">
        <v>10</v>
      </c>
      <c r="H17" s="5" t="inlineStr"/>
      <c r="I17" s="2" t="inlineStr">
        <is>
          <t>2026-02-24</t>
        </is>
      </c>
      <c r="J17" s="2" t="inlineStr">
        <is>
          <t>2026-03-03</t>
        </is>
      </c>
      <c r="K17" s="6" t="inlineStr">
        <is>
          <t>To Do</t>
        </is>
      </c>
    </row>
    <row r="18">
      <c r="A18" s="2" t="inlineStr">
        <is>
          <t>AZ-SEC-017</t>
        </is>
      </c>
      <c r="B18" s="2" t="inlineStr">
        <is>
          <t>Key Vault</t>
        </is>
      </c>
      <c r="C18" s="3" t="inlineStr">
        <is>
          <t>Add Key Vault Secrets and Keys Management</t>
        </is>
      </c>
      <c r="D18" s="3" t="inlineStr">
        <is>
          <t>1. Implement azurerm_key_vault_secret resource
2. Add azurerm_key_vault_key for encryption keys
3. Configure azurerm_key_vault_certificate
4. Add expiration policies for secrets and keys
5. Implement automated rotation for secrets
6. Configure notification alerts for expiring secrets
7. Add secret versioning management
8. Create variables for secret lifecycle
9. Update outputs to expose secret URIs
10. Document secret management procedures</t>
        </is>
      </c>
      <c r="E18" s="3" t="inlineStr">
        <is>
          <t>1. Terraform plan includes secrets, keys, certificates
2. Expiration policies configured correctly
3. Rotation settings validated
4. Versioning enabled in plan
5. Alert rules for expiring secrets created
6. No sensitive data exposed in plan output
7. Secret URIs available in outputs
8. Module supports secret import and management</t>
        </is>
      </c>
      <c r="F18" s="4" t="inlineStr">
        <is>
          <t>High</t>
        </is>
      </c>
      <c r="G18" s="2" t="n">
        <v>10</v>
      </c>
      <c r="H18" s="5" t="inlineStr"/>
      <c r="I18" s="2" t="inlineStr">
        <is>
          <t>2026-02-25</t>
        </is>
      </c>
      <c r="J18" s="2" t="inlineStr">
        <is>
          <t>2026-03-04</t>
        </is>
      </c>
      <c r="K18" s="6" t="inlineStr">
        <is>
          <t>To Do</t>
        </is>
      </c>
    </row>
    <row r="19">
      <c r="A19" s="2" t="inlineStr">
        <is>
          <t>AZ-SEC-018</t>
        </is>
      </c>
      <c r="B19" s="2" t="inlineStr">
        <is>
          <t>Key Vault</t>
        </is>
      </c>
      <c r="C19" s="3" t="inlineStr">
        <is>
          <t>Terraform Testing Phase - Key Vault Secrets Management</t>
        </is>
      </c>
      <c r="D19" s="3" t="inlineStr">
        <is>
          <t>1. Deploy secrets and keys via Terraform
2. Test secret creation and versioning
3. Validate key creation and rotation
4. Test certificate management
5. Verify expiration policies
6. Test automated rotation functionality
7. Validate expiration alerts
8. Test secret retrieval from applications
9. Run CI/CD pipeline for secrets deployment
10. Test secret updates and versioning
11. Validate terraform state for secrets
12. Document secret lifecycle testing</t>
        </is>
      </c>
      <c r="E19" s="3" t="inlineStr">
        <is>
          <t>1. Secrets created successfully in Key Vault
2. Keys deployed with correct properties
3. Certificates imported/generated correctly
4. Expiration policies enforced
5. Rotation alerts trigger before expiry
6. Applications can retrieve secrets
7. CI/CD pipeline handles secrets securely
8. Secret versions managed correctly
9. Terraform manages secret lifecycle properly
10. No sensitive data in CI/CD logs</t>
        </is>
      </c>
      <c r="F19" s="4" t="inlineStr">
        <is>
          <t>High</t>
        </is>
      </c>
      <c r="G19" s="2" t="n">
        <v>8</v>
      </c>
      <c r="H19" s="5" t="inlineStr"/>
      <c r="I19" s="2" t="inlineStr">
        <is>
          <t>2026-02-26</t>
        </is>
      </c>
      <c r="J19" s="2" t="inlineStr">
        <is>
          <t>2026-03-05</t>
        </is>
      </c>
      <c r="K19" s="6" t="inlineStr">
        <is>
          <t>To Do</t>
        </is>
      </c>
    </row>
    <row r="20">
      <c r="A20" s="2" t="inlineStr">
        <is>
          <t>AZ-SEC-019</t>
        </is>
      </c>
      <c r="B20" s="2" t="inlineStr">
        <is>
          <t>SQL on VM</t>
        </is>
      </c>
      <c r="C20" s="3" t="inlineStr">
        <is>
          <t>Implement SQL Server Security in VM Terraform Module</t>
        </is>
      </c>
      <c r="D20" s="3" t="inlineStr">
        <is>
          <t>1. Add SQL Server IaaS extension to VM module
2. Configure SQL authentication and security settings
3. Implement Transparent Data Encryption (TDE)
4. Add SQL backup configuration to Recovery Services Vault
5. Configure SQL firewall rules and network access
6. Implement SQL auditing and compliance settings
7. Add SQL assessment and vulnerability scanning
8. Configure Always Encrypted for sensitive data
9. Add SQL diagnostic settings and performance logs
10. Create variables for SQL security features
11. Update documentation with SQL hardening guide</t>
        </is>
      </c>
      <c r="E20" s="3" t="inlineStr">
        <is>
          <t>1. Terraform plan includes SQL IaaS extension
2. TDE configuration validated in plan
3. Authentication settings secure and compliant
4. Backup configuration present and validated
5. Firewall rules follow security requirements
6. Auditing enabled with proper retention
7. Vulnerability scanning configured
8. Diagnostic settings capture SQL logs
9. Module supports SQL 2016/2017/2019/2022</t>
        </is>
      </c>
      <c r="F20" s="4" t="inlineStr">
        <is>
          <t>High</t>
        </is>
      </c>
      <c r="G20" s="2" t="n">
        <v>13</v>
      </c>
      <c r="H20" s="5" t="inlineStr"/>
      <c r="I20" s="2" t="inlineStr">
        <is>
          <t>2026-02-27</t>
        </is>
      </c>
      <c r="J20" s="2" t="inlineStr">
        <is>
          <t>2026-03-06</t>
        </is>
      </c>
      <c r="K20" s="6" t="inlineStr">
        <is>
          <t>To Do</t>
        </is>
      </c>
    </row>
    <row r="21">
      <c r="A21" s="2" t="inlineStr">
        <is>
          <t>AZ-SEC-020</t>
        </is>
      </c>
      <c r="B21" s="2" t="inlineStr">
        <is>
          <t>SQL on VM</t>
        </is>
      </c>
      <c r="C21" s="3" t="inlineStr">
        <is>
          <t>Terraform Testing Phase - SQL Server Security</t>
        </is>
      </c>
      <c r="D21" s="3" t="inlineStr">
        <is>
          <t>1. Deploy SQL VM via Terraform in test environment
2. Test SQL IaaS extension installation
3. Validate TDE enablement and encryption
4. Test SQL authentication configurations
5. Validate backup integration with Recovery Vault
6. Test SQL firewall rules and connectivity
7. Verify auditing and compliance logs
8. Test vulnerability assessment scans
9. Validate Always Encrypted configuration
10. Run CI/CD pipeline for SQL deployment
11. Test SQL performance and diagnostics
12. Perform security validation and penetration testing
13. Document SQL security testing results</t>
        </is>
      </c>
      <c r="E21" s="3" t="inlineStr">
        <is>
          <t>1. SQL VM deployed successfully
2. SQL IaaS extension installed and configured
3. TDE enabled and encrypting data
4. SQL authentication secure and functional
5. Backups configured and running
6. Firewall rules block unauthorized access
7. Audit logs captured properly
8. Vulnerability scans complete with results
9. Diagnostic data flowing to Log Analytics
10. CI/CD pipeline validates SQL deployment
11. Security posture meets compliance standards</t>
        </is>
      </c>
      <c r="F21" s="4" t="inlineStr">
        <is>
          <t>High</t>
        </is>
      </c>
      <c r="G21" s="2" t="n">
        <v>10</v>
      </c>
      <c r="H21" s="5" t="inlineStr"/>
      <c r="I21" s="2" t="inlineStr">
        <is>
          <t>2026-02-28</t>
        </is>
      </c>
      <c r="J21" s="2" t="inlineStr">
        <is>
          <t>2026-03-07</t>
        </is>
      </c>
      <c r="K21" s="6" t="inlineStr">
        <is>
          <t>To Do</t>
        </is>
      </c>
    </row>
    <row r="22">
      <c r="A22" s="2" t="inlineStr">
        <is>
          <t>AZ-SEC-021</t>
        </is>
      </c>
      <c r="B22" s="2" t="inlineStr">
        <is>
          <t>SQL on VM</t>
        </is>
      </c>
      <c r="C22" s="3" t="inlineStr">
        <is>
          <t>Add SQL Server Monitoring and Diagnostics</t>
        </is>
      </c>
      <c r="D22" s="3" t="inlineStr">
        <is>
          <t>1. Configure SQL Server diagnostic settings
2. Add SQL Insights and performance monitoring
3. Implement Query Store configuration
4. Add automated tuning and indexing settings
5. Configure SQL audit log retention and alerting
6. Create SQL-specific performance alerts
7. Add SQL health check monitoring
8. Configure deadlock and blocking alerts
9. Implement SQL Agent job monitoring
10. Document SQL monitoring and troubleshooting</t>
        </is>
      </c>
      <c r="E22" s="3" t="inlineStr">
        <is>
          <t>1. Diagnostic settings configured in plan
2. SQL Insights enabled and collecting data
3. Query Store properly configured
4. Automated tuning validated
5. Audit retention meets compliance (90+ days)
6. Performance alerts created for key metrics
7. SQL health checks scheduled
8. Deadlock alerts configured</t>
        </is>
      </c>
      <c r="F22" s="7" t="inlineStr">
        <is>
          <t>Medium</t>
        </is>
      </c>
      <c r="G22" s="2" t="n">
        <v>8</v>
      </c>
      <c r="H22" s="5" t="inlineStr"/>
      <c r="I22" s="2" t="inlineStr">
        <is>
          <t>2026-03-01</t>
        </is>
      </c>
      <c r="J22" s="2" t="inlineStr">
        <is>
          <t>2026-03-08</t>
        </is>
      </c>
      <c r="K22" s="6" t="inlineStr">
        <is>
          <t>To Do</t>
        </is>
      </c>
    </row>
    <row r="23">
      <c r="A23" s="2" t="inlineStr">
        <is>
          <t>AZ-SEC-022</t>
        </is>
      </c>
      <c r="B23" s="2" t="inlineStr">
        <is>
          <t>SQL on VM</t>
        </is>
      </c>
      <c r="C23" s="3" t="inlineStr">
        <is>
          <t>Terraform Testing Phase - SQL Monitoring</t>
        </is>
      </c>
      <c r="D23" s="3" t="inlineStr">
        <is>
          <t>1. Deploy SQL monitoring configuration
2. Validate diagnostic settings deployment
3. Test SQL Insights data collection
4. Verify Query Store functionality
5. Test automated tuning recommendations
6. Validate audit log retention
7. Test performance alert triggering
8. Verify SQL health check execution
9. Run CI/CD pipeline for monitoring setup
10. Generate test workload and monitor
11. Document monitoring validation results</t>
        </is>
      </c>
      <c r="E23" s="3" t="inlineStr">
        <is>
          <t>1. SQL Insights collecting performance data
2. Query Store capturing query metrics
3. Diagnostic logs flowing to Log Analytics
4. Performance alerts trigger correctly
5. Audit logs retained per policy
6. SQL health checks running successfully
7. CI/CD pipeline validates monitoring
8. Monitoring dashboards functional
9. Terraform deployment successful</t>
        </is>
      </c>
      <c r="F23" s="7" t="inlineStr">
        <is>
          <t>Medium</t>
        </is>
      </c>
      <c r="G23" s="2" t="n">
        <v>5</v>
      </c>
      <c r="H23" s="5" t="inlineStr"/>
      <c r="I23" s="2" t="inlineStr">
        <is>
          <t>2026-03-02</t>
        </is>
      </c>
      <c r="J23" s="2" t="inlineStr">
        <is>
          <t>2026-03-09</t>
        </is>
      </c>
      <c r="K23" s="6" t="inlineStr">
        <is>
          <t>To Do</t>
        </is>
      </c>
    </row>
    <row r="24">
      <c r="A24" s="2" t="inlineStr">
        <is>
          <t>AZ-SEC-023</t>
        </is>
      </c>
      <c r="B24" s="2" t="inlineStr">
        <is>
          <t>Azure SQL Database</t>
        </is>
      </c>
      <c r="C24" s="3" t="inlineStr">
        <is>
          <t>Create Secure Azure SQL Database Terraform Module</t>
        </is>
      </c>
      <c r="D24" s="3" t="inlineStr">
        <is>
          <t>1. Design Azure SQL Database module structure
2. Implement SQL Server and database resources
3. Add Advanced Threat Protection configuration
4. Configure Transparent Data Encryption (TDE)
5. Implement firewall and virtual network rules
6. Add private endpoint configuration
7. Configure SQL vulnerability assessment
8. Add auditing and diagnostic settings
9. Implement failover groups for HA
10. Add auto-failover and geo-replication
11. Create variables for database configuration
12. Document SQL Database security features</t>
        </is>
      </c>
      <c r="E24" s="3" t="inlineStr">
        <is>
          <t>1. Terraform plan creates SQL Server and database
2. Advanced Threat Protection enabled
3. TDE validated in plan output
4. Network security rules properly configured
5. Private endpoint created and linked
6. Vulnerability assessment configured
7. Auditing and diagnostics enabled
8. Failover groups configured for HA
9. Module supports different service tiers</t>
        </is>
      </c>
      <c r="F24" s="8" t="inlineStr">
        <is>
          <t>Critical</t>
        </is>
      </c>
      <c r="G24" s="2" t="n">
        <v>13</v>
      </c>
      <c r="H24" s="5" t="inlineStr"/>
      <c r="I24" s="2" t="inlineStr">
        <is>
          <t>2026-03-03</t>
        </is>
      </c>
      <c r="J24" s="2" t="inlineStr">
        <is>
          <t>2026-03-10</t>
        </is>
      </c>
      <c r="K24" s="6" t="inlineStr">
        <is>
          <t>To Do</t>
        </is>
      </c>
    </row>
    <row r="25">
      <c r="A25" s="2" t="inlineStr">
        <is>
          <t>AZ-SEC-024</t>
        </is>
      </c>
      <c r="B25" s="2" t="inlineStr">
        <is>
          <t>Azure SQL Database</t>
        </is>
      </c>
      <c r="C25" s="3" t="inlineStr">
        <is>
          <t>Terraform Testing Phase - Azure SQL Database</t>
        </is>
      </c>
      <c r="D25" s="3" t="inlineStr">
        <is>
          <t>1. Deploy Azure SQL Database via Terraform
2. Test SQL Server creation and configuration
3. Validate database deployment with different tiers
4. Test Advanced Threat Protection functionality
5. Verify TDE encryption status
6. Test firewall and VNet rules
7. Validate private endpoint connectivity
8. Test vulnerability assessment scans
9. Verify auditing and diagnostic logs
10. Test failover group functionality
11. Run CI/CD pipeline for SQL deployment
12. Perform security and compliance validation
13. Document testing results and configurations</t>
        </is>
      </c>
      <c r="E25" s="3" t="inlineStr">
        <is>
          <t>1. SQL Database deployed successfully
2. ATP detecting security threats
3. TDE encrypting database at rest
4. Firewall rules enforced correctly
5. Private endpoint accessible from VNet
6. Vulnerability scans complete with reports
7. Audit logs captured in Log Analytics
8. Failover groups functional
9. CI/CD pipeline passes all tests
10. Terraform state consistent
11. Security compliance validated</t>
        </is>
      </c>
      <c r="F25" s="8" t="inlineStr">
        <is>
          <t>Critical</t>
        </is>
      </c>
      <c r="G25" s="2" t="n">
        <v>10</v>
      </c>
      <c r="H25" s="5" t="inlineStr"/>
      <c r="I25" s="2" t="inlineStr">
        <is>
          <t>2026-03-04</t>
        </is>
      </c>
      <c r="J25" s="2" t="inlineStr">
        <is>
          <t>2026-03-11</t>
        </is>
      </c>
      <c r="K25" s="6" t="inlineStr">
        <is>
          <t>To Do</t>
        </is>
      </c>
    </row>
    <row r="26">
      <c r="A26" s="2" t="inlineStr">
        <is>
          <t>AZ-SEC-025</t>
        </is>
      </c>
      <c r="B26" s="2" t="inlineStr">
        <is>
          <t>Azure SQL Database</t>
        </is>
      </c>
      <c r="C26" s="3" t="inlineStr">
        <is>
          <t>Implement SQL Database Vulnerability Assessment</t>
        </is>
      </c>
      <c r="D26" s="3" t="inlineStr">
        <is>
          <t>1. Add azurerm_mssql_server_vulnerability_assessment
2. Configure vulnerability scanning settings
3. Implement baseline security rules
4. Add storage account for vulnerability reports
5. Configure email notifications for findings
6. Add recurring scan schedule
7. Implement remediation tracking
8. Configure vulnerability exceptions
9. Add variables for assessment settings
10. Document vulnerability management process</t>
        </is>
      </c>
      <c r="E26" s="3" t="inlineStr">
        <is>
          <t>1. Vulnerability assessment resource in plan
2. Scanning configured with weekly schedule
3. Baseline rules implemented correctly
4. Storage account linked for reports
5. Email notifications validated
6. Recurring scans scheduled
7. Exceptions managed properly</t>
        </is>
      </c>
      <c r="F26" s="4" t="inlineStr">
        <is>
          <t>High</t>
        </is>
      </c>
      <c r="G26" s="2" t="n">
        <v>8</v>
      </c>
      <c r="H26" s="5" t="inlineStr"/>
      <c r="I26" s="2" t="inlineStr">
        <is>
          <t>2026-03-05</t>
        </is>
      </c>
      <c r="J26" s="2" t="inlineStr">
        <is>
          <t>2026-03-12</t>
        </is>
      </c>
      <c r="K26" s="6" t="inlineStr">
        <is>
          <t>To Do</t>
        </is>
      </c>
    </row>
    <row r="27">
      <c r="A27" s="2" t="inlineStr">
        <is>
          <t>AZ-SEC-026</t>
        </is>
      </c>
      <c r="B27" s="2" t="inlineStr">
        <is>
          <t>Azure SQL Database</t>
        </is>
      </c>
      <c r="C27" s="3" t="inlineStr">
        <is>
          <t>Terraform Testing Phase - SQL Vulnerability Assessment</t>
        </is>
      </c>
      <c r="D27" s="3" t="inlineStr">
        <is>
          <t>1. Deploy vulnerability assessment via Terraform
2. Test initial vulnerability scan
3. Validate baseline rule enforcement
4. Test storage of scan reports
5. Verify email notifications
6. Test recurring scan execution
7. Validate remediation tracking
8. Test exception handling
9. Run CI/CD pipeline for assessment config
10. Review scan results and findings
11. Document vulnerability testing results</t>
        </is>
      </c>
      <c r="E27" s="3" t="inlineStr">
        <is>
          <t>1. Vulnerability assessment deployed
2. Initial scan completes successfully
3. Baseline rules enforced correctly
4. Scan reports stored in storage account
5. Email notifications sent for findings
6. Recurring scans scheduled and running
7. CI/CD pipeline validates deployment
8. Terraform plan and apply successful
9. Scan results documented</t>
        </is>
      </c>
      <c r="F27" s="4" t="inlineStr">
        <is>
          <t>High</t>
        </is>
      </c>
      <c r="G27" s="2" t="n">
        <v>5</v>
      </c>
      <c r="H27" s="5" t="inlineStr"/>
      <c r="I27" s="2" t="inlineStr">
        <is>
          <t>2026-03-06</t>
        </is>
      </c>
      <c r="J27" s="2" t="inlineStr">
        <is>
          <t>2026-03-13</t>
        </is>
      </c>
      <c r="K27" s="6" t="inlineStr">
        <is>
          <t>To Do</t>
        </is>
      </c>
    </row>
    <row r="28">
      <c r="A28" s="2" t="inlineStr">
        <is>
          <t>AZ-SEC-027</t>
        </is>
      </c>
      <c r="B28" s="2" t="inlineStr">
        <is>
          <t>App Service</t>
        </is>
      </c>
      <c r="C28" s="3" t="inlineStr">
        <is>
          <t>Build Secure App Service Terraform Module</t>
        </is>
      </c>
      <c r="D28" s="3" t="inlineStr">
        <is>
          <t>1. Create App Service Plan and App Service resources
2. Implement authentication and authorization (Easy Auth)
3. Configure managed identity (system/user assigned)
4. Add VNet integration for outbound traffic
5. Add private endpoint for inbound access
6. Implement HTTPS only and TLS 1.2 minimum
7. Add custom domain and SSL certificate binding
8. Configure app settings and connection strings securely
9. Add diagnostic settings and App Insights
10. Implement deployment slots for zero-downtime
11. Add IP restrictions and access controls
12. Document App Service security configuration</t>
        </is>
      </c>
      <c r="E28" s="3" t="inlineStr">
        <is>
          <t>1. Terraform plan creates App Service securely
2. Authentication configured with Azure AD
3. Managed identity enabled and assigned
4. VNet integration configured correctly
5. Private endpoint created for secure access
6. HTTPS enforced with TLS 1.2+
7. SSL certificates bound to custom domains
8. Secrets stored in Key Vault, not config
9. App Insights integrated for monitoring
10. Deployment slots configured</t>
        </is>
      </c>
      <c r="F28" s="4" t="inlineStr">
        <is>
          <t>High</t>
        </is>
      </c>
      <c r="G28" s="2" t="n">
        <v>13</v>
      </c>
      <c r="H28" s="5" t="inlineStr"/>
      <c r="I28" s="2" t="inlineStr">
        <is>
          <t>2026-03-07</t>
        </is>
      </c>
      <c r="J28" s="2" t="inlineStr">
        <is>
          <t>2026-03-14</t>
        </is>
      </c>
      <c r="K28" s="6" t="inlineStr">
        <is>
          <t>To Do</t>
        </is>
      </c>
    </row>
    <row r="29">
      <c r="A29" s="2" t="inlineStr">
        <is>
          <t>AZ-SEC-028</t>
        </is>
      </c>
      <c r="B29" s="2" t="inlineStr">
        <is>
          <t>App Service</t>
        </is>
      </c>
      <c r="C29" s="3" t="inlineStr">
        <is>
          <t>Terraform Testing Phase - App Service Security</t>
        </is>
      </c>
      <c r="D29" s="3" t="inlineStr">
        <is>
          <t>1. Deploy App Service via Terraform in test environment
2. Test authentication and authorization
3. Validate managed identity functionality
4. Test VNet integration and private endpoint
5. Verify HTTPS enforcement and TLS version
6. Test custom domain and SSL certificate
7. Validate secure app settings and secrets
8. Test App Insights integration
9. Validate deployment slots and swapping
10. Test IP restrictions and access controls
11. Run CI/CD pipeline for App Service deployment
12. Perform security scanning and validation
13. Document testing results and configurations</t>
        </is>
      </c>
      <c r="E29" s="3" t="inlineStr">
        <is>
          <t>1. App Service deployed successfully
2. Authentication working with Azure AD
3. Managed identity accessing Key Vault
4. VNet integration functional
5. Private endpoint accessible from VNet only
6. HTTPS enforced, HTTP redirected
7. SSL certificate valid and bound
8. Secrets retrieved from Key Vault
9. App Insights collecting telemetry
10. Deployment slots functional
11. CI/CD pipeline passes all stages
12. Security scan shows no vulnerabilities</t>
        </is>
      </c>
      <c r="F29" s="4" t="inlineStr">
        <is>
          <t>High</t>
        </is>
      </c>
      <c r="G29" s="2" t="n">
        <v>10</v>
      </c>
      <c r="H29" s="5" t="inlineStr"/>
      <c r="I29" s="2" t="inlineStr">
        <is>
          <t>2026-03-08</t>
        </is>
      </c>
      <c r="J29" s="2" t="inlineStr">
        <is>
          <t>2026-03-15</t>
        </is>
      </c>
      <c r="K29" s="6" t="inlineStr">
        <is>
          <t>To Do</t>
        </is>
      </c>
    </row>
    <row r="30">
      <c r="A30" s="2" t="inlineStr">
        <is>
          <t>AZ-SEC-029</t>
        </is>
      </c>
      <c r="B30" s="2" t="inlineStr">
        <is>
          <t>App Service</t>
        </is>
      </c>
      <c r="C30" s="3" t="inlineStr">
        <is>
          <t>Add App Service Monitoring and Diagnostics</t>
        </is>
      </c>
      <c r="D30" s="3" t="inlineStr">
        <is>
          <t>1. Configure Application Insights integration
2. Add diagnostic settings for app service logs
3. Implement Log Analytics workspace connection
4. Configure availability tests and URL ping
5. Add custom metrics and performance counters
6. Create alerts for application errors and failures
7. Configure action groups for notifications
8. Add application map and dependency tracking
9. Implement smart detection for anomalies
10. Document monitoring and troubleshooting procedures</t>
        </is>
      </c>
      <c r="E30" s="3" t="inlineStr">
        <is>
          <t>1. Application Insights configured in plan
2. Diagnostic settings complete for all logs
3. Log Analytics workspace connected
4. Availability tests created and running
5. Custom metrics defined
6. Alerts configured for critical issues
7. Action groups set up for notifications
8. Application map enabled
9. Smart detection active</t>
        </is>
      </c>
      <c r="F30" s="7" t="inlineStr">
        <is>
          <t>Medium</t>
        </is>
      </c>
      <c r="G30" s="2" t="n">
        <v>8</v>
      </c>
      <c r="H30" s="5" t="inlineStr"/>
      <c r="I30" s="2" t="inlineStr">
        <is>
          <t>2026-03-09</t>
        </is>
      </c>
      <c r="J30" s="2" t="inlineStr">
        <is>
          <t>2026-03-16</t>
        </is>
      </c>
      <c r="K30" s="6" t="inlineStr">
        <is>
          <t>To Do</t>
        </is>
      </c>
    </row>
    <row r="31">
      <c r="A31" s="2" t="inlineStr">
        <is>
          <t>AZ-SEC-030</t>
        </is>
      </c>
      <c r="B31" s="2" t="inlineStr">
        <is>
          <t>App Service</t>
        </is>
      </c>
      <c r="C31" s="3" t="inlineStr">
        <is>
          <t>Terraform Testing Phase - App Service Monitoring</t>
        </is>
      </c>
      <c r="D31" s="3" t="inlineStr">
        <is>
          <t>1. Deploy monitoring configuration via Terraform
2. Validate Application Insights deployment
3. Test diagnostic log collection
4. Verify availability test execution
5. Test custom metrics collection
6. Validate alert triggering
7. Test action group notifications
8. Verify application map data
9. Test smart detection alerts
10. Run CI/CD pipeline for monitoring setup
11. Generate test traffic and monitor
12. Document monitoring validation results</t>
        </is>
      </c>
      <c r="E31" s="3" t="inlineStr">
        <is>
          <t>1. Application Insights collecting data
2. Diagnostic logs flowing to Log Analytics
3. Availability tests running and reporting
4. Custom metrics visible in portal
5. Alerts trigger for test conditions
6. Notifications sent via action groups
7. Application map showing dependencies
8. Smart detection identifying anomalies
9. CI/CD pipeline validates monitoring
10. Terraform deployment successful</t>
        </is>
      </c>
      <c r="F31" s="7" t="inlineStr">
        <is>
          <t>Medium</t>
        </is>
      </c>
      <c r="G31" s="2" t="n">
        <v>5</v>
      </c>
      <c r="H31" s="5" t="inlineStr"/>
      <c r="I31" s="2" t="inlineStr">
        <is>
          <t>2026-03-10</t>
        </is>
      </c>
      <c r="J31" s="2" t="inlineStr">
        <is>
          <t>2026-03-17</t>
        </is>
      </c>
      <c r="K31" s="6" t="inlineStr">
        <is>
          <t>To Do</t>
        </is>
      </c>
    </row>
    <row r="32">
      <c r="A32" s="2" t="inlineStr">
        <is>
          <t>AZ-SEC-031</t>
        </is>
      </c>
      <c r="B32" s="2" t="inlineStr">
        <is>
          <t>Azure AD</t>
        </is>
      </c>
      <c r="C32" s="3" t="inlineStr">
        <is>
          <t>Implement Conditional Access Policies in Terraform</t>
        </is>
      </c>
      <c r="D32" s="3" t="inlineStr">
        <is>
          <t>1. Set up AzureAD provider in Terraform configuration
2. Add Conditional Access policy resources
3. Configure MFA requirements for all users
4. Implement location-based access policies
5. Add device compliance requirements
6. Configure trusted locations and named locations
7. Implement session controls and sign-in frequency
8. Add application-specific access policies
9. Configure risk-based policies
10. Add break-glass account exclusions
11. Document Conditional Access strategy</t>
        </is>
      </c>
      <c r="E32" s="3" t="inlineStr">
        <is>
          <t>1. Terraform plan includes CA policies
2. MFA enforcement configured for users
3. Location-based policies validated
4. Device compliance requirements set
5. Session controls configured properly
6. Application policies defined
7. Risk-based policies enabled
8. Break-glass accounts excluded correctly
9. Policies aligned with security baseline</t>
        </is>
      </c>
      <c r="F32" s="8" t="inlineStr">
        <is>
          <t>Critical</t>
        </is>
      </c>
      <c r="G32" s="2" t="n">
        <v>13</v>
      </c>
      <c r="H32" s="5" t="inlineStr"/>
      <c r="I32" s="2" t="inlineStr">
        <is>
          <t>2026-03-11</t>
        </is>
      </c>
      <c r="J32" s="2" t="inlineStr">
        <is>
          <t>2026-03-18</t>
        </is>
      </c>
      <c r="K32" s="6" t="inlineStr">
        <is>
          <t>To Do</t>
        </is>
      </c>
    </row>
    <row r="33">
      <c r="A33" s="2" t="inlineStr">
        <is>
          <t>AZ-SEC-032</t>
        </is>
      </c>
      <c r="B33" s="2" t="inlineStr">
        <is>
          <t>Azure AD</t>
        </is>
      </c>
      <c r="C33" s="3" t="inlineStr">
        <is>
          <t>Terraform Testing Phase - Conditional Access Policies</t>
        </is>
      </c>
      <c r="D33" s="3" t="inlineStr">
        <is>
          <t>1. Deploy CA policies via Terraform in test tenant
2. Test MFA enforcement for users
3. Validate location-based policy blocking
4. Test device compliance requirements
5. Verify session control enforcement
6. Test application access policies
7. Validate risk-based policy triggers
8. Test break-glass account access
9. Run CI/CD pipeline for CA deployment
10. Perform user acceptance testing
11. Test policy combinations and conflicts
12. Document testing results and user impact</t>
        </is>
      </c>
      <c r="E33" s="3" t="inlineStr">
        <is>
          <t>1. CA policies deployed successfully
2. MFA prompts appear for users
3. Location-based blocking functional
4. Device compliance checked correctly
5. Session controls enforced
6. Application access restricted properly
7. Risk-based policies trigger correctly
8. Break-glass accounts accessible
9. CI/CD pipeline validates policies
10. No policy conflicts detected
11. User testing completed successfully</t>
        </is>
      </c>
      <c r="F33" s="8" t="inlineStr">
        <is>
          <t>Critical</t>
        </is>
      </c>
      <c r="G33" s="2" t="n">
        <v>8</v>
      </c>
      <c r="H33" s="5" t="inlineStr"/>
      <c r="I33" s="2" t="inlineStr">
        <is>
          <t>2026-03-12</t>
        </is>
      </c>
      <c r="J33" s="2" t="inlineStr">
        <is>
          <t>2026-03-19</t>
        </is>
      </c>
      <c r="K33" s="6" t="inlineStr">
        <is>
          <t>To Do</t>
        </is>
      </c>
    </row>
    <row r="34">
      <c r="A34" s="2" t="inlineStr">
        <is>
          <t>AZ-SEC-033</t>
        </is>
      </c>
      <c r="B34" s="2" t="inlineStr">
        <is>
          <t>Network Security</t>
        </is>
      </c>
      <c r="C34" s="3" t="inlineStr">
        <is>
          <t>Create Network Security Group Module with Best Practices</t>
        </is>
      </c>
      <c r="D34" s="3" t="inlineStr">
        <is>
          <t>1. Design NSG module with security rule framework
2. Implement allow-list approach for security rules
3. Add application security groups (ASGs)
4. Configure NSG flow logs and traffic analytics
5. Add diagnostic settings for NSG logs
6. Implement rule priority management system
7. Add NSG association resources for subnets/NICs
8. Create deny-all default rules
9. Add variables for dynamic rule creation
10. Document NSG design and rule management</t>
        </is>
      </c>
      <c r="E34" s="3" t="inlineStr">
        <is>
          <t>1. Terraform plan creates NSGs with rules
2. Security rules follow allow-list principle
3. ASGs properly configured and used
4. Flow logs enabled with storage account
5. Traffic analytics configured
6. Diagnostics settings present
7. NSG associations validated
8. Deny-all rules present as baseline
9. Rule priorities managed correctly</t>
        </is>
      </c>
      <c r="F34" s="4" t="inlineStr">
        <is>
          <t>High</t>
        </is>
      </c>
      <c r="G34" s="2" t="n">
        <v>10</v>
      </c>
      <c r="H34" s="5" t="inlineStr"/>
      <c r="I34" s="2" t="inlineStr">
        <is>
          <t>2026-03-13</t>
        </is>
      </c>
      <c r="J34" s="2" t="inlineStr">
        <is>
          <t>2026-03-20</t>
        </is>
      </c>
      <c r="K34" s="6" t="inlineStr">
        <is>
          <t>To Do</t>
        </is>
      </c>
    </row>
    <row r="35">
      <c r="A35" s="2" t="inlineStr">
        <is>
          <t>AZ-SEC-034</t>
        </is>
      </c>
      <c r="B35" s="2" t="inlineStr">
        <is>
          <t>Network Security</t>
        </is>
      </c>
      <c r="C35" s="3" t="inlineStr">
        <is>
          <t>Terraform Testing Phase - NSG Configuration</t>
        </is>
      </c>
      <c r="D35" s="3" t="inlineStr">
        <is>
          <t>1. Deploy NSG configuration via Terraform
2. Test security rule enforcement
3. Validate ASG functionality
4. Test NSG flow logs collection
5. Verify traffic analytics data
6. Test NSG associations with subnets
7. Validate rule priority ordering
8. Test deny-all baseline rules
9. Perform network connectivity testing
10. Run CI/CD pipeline for NSG deployment
11. Test rule modifications and updates
12. Document network security testing results</t>
        </is>
      </c>
      <c r="E35" s="3" t="inlineStr">
        <is>
          <t>1. NSGs deployed successfully
2. Security rules blocking/allowing correctly
3. ASGs grouping resources properly
4. Flow logs captured in storage
5. Traffic analytics showing insights
6. NSG associations functional
7. Rule priorities working as expected
8. Deny-all rules blocking unauthorized traffic
9. Connectivity tests pass as designed
10. CI/CD pipeline validates NSG config
11. Terraform state consistent</t>
        </is>
      </c>
      <c r="F35" s="4" t="inlineStr">
        <is>
          <t>High</t>
        </is>
      </c>
      <c r="G35" s="2" t="n">
        <v>8</v>
      </c>
      <c r="H35" s="5" t="inlineStr"/>
      <c r="I35" s="2" t="inlineStr">
        <is>
          <t>2026-03-14</t>
        </is>
      </c>
      <c r="J35" s="2" t="inlineStr">
        <is>
          <t>2026-03-21</t>
        </is>
      </c>
      <c r="K35" s="6" t="inlineStr">
        <is>
          <t>To Do</t>
        </is>
      </c>
    </row>
    <row r="36">
      <c r="A36" s="2" t="inlineStr">
        <is>
          <t>AZ-SEC-035</t>
        </is>
      </c>
      <c r="B36" s="2" t="inlineStr">
        <is>
          <t>Network Security</t>
        </is>
      </c>
      <c r="C36" s="3" t="inlineStr">
        <is>
          <t>Implement Azure Firewall and Policies</t>
        </is>
      </c>
      <c r="D36" s="3" t="inlineStr">
        <is>
          <t>1. Add Azure Firewall resource to module
2. Configure firewall policy resource
3. Implement DNAT rules for inbound traffic
4. Add network rules for east-west traffic
5. Configure application rules with FQDN filtering
6. Add threat intelligence-based filtering
7. Configure DNS proxy settings
8. Implement forced tunneling if required
9. Add firewall diagnostic settings
10. Configure firewall in hub-spoke topology
11. Document firewall rules and management</t>
        </is>
      </c>
      <c r="E36" s="3" t="inlineStr">
        <is>
          <t>1. Terraform plan creates Azure Firewall
2. Firewall policy configured correctly
3. DNAT rules validated for inbound traffic
4. Network rules properly defined
5. Application rules with FQDN filtering
6. Threat intelligence enabled
7. DNS proxy configured
8. Routing configured correctly
9. Diagnostics capturing firewall logs</t>
        </is>
      </c>
      <c r="F36" s="8" t="inlineStr">
        <is>
          <t>Critical</t>
        </is>
      </c>
      <c r="G36" s="2" t="n">
        <v>13</v>
      </c>
      <c r="H36" s="5" t="inlineStr"/>
      <c r="I36" s="2" t="inlineStr">
        <is>
          <t>2026-03-15</t>
        </is>
      </c>
      <c r="J36" s="2" t="inlineStr">
        <is>
          <t>2026-03-22</t>
        </is>
      </c>
      <c r="K36" s="6" t="inlineStr">
        <is>
          <t>To Do</t>
        </is>
      </c>
    </row>
    <row r="37">
      <c r="A37" s="2" t="inlineStr">
        <is>
          <t>AZ-SEC-036</t>
        </is>
      </c>
      <c r="B37" s="2" t="inlineStr">
        <is>
          <t>Network Security</t>
        </is>
      </c>
      <c r="C37" s="3" t="inlineStr">
        <is>
          <t>Terraform Testing Phase - Azure Firewall</t>
        </is>
      </c>
      <c r="D37" s="3" t="inlineStr">
        <is>
          <t>1. Deploy Azure Firewall via Terraform
2. Test DNAT rules for inbound connections
3. Validate network rules for internal traffic
4. Test application rules and FQDN filtering
5. Verify threat intelligence blocking
6. Test DNS proxy functionality
7. Validate routing configuration
8. Test forced tunneling if configured
9. Verify diagnostic logs collection
10. Run CI/CD pipeline for firewall deployment
11. Perform traffic flow testing
12. Document firewall testing and validation</t>
        </is>
      </c>
      <c r="E37" s="3" t="inlineStr">
        <is>
          <t>1. Azure Firewall deployed successfully
2. DNAT rules working for inbound traffic
3. Network rules allowing/blocking correctly
4. FQDN filtering functional
5. Threat intelligence blocking malicious IPs
6. DNS proxy resolving queries
7. Routing tables configured properly
8. Diagnostic logs flowing to Log Analytics
9. CI/CD pipeline validates firewall
10. Traffic flows as designed
11. Terraform deployment successful</t>
        </is>
      </c>
      <c r="F37" s="8" t="inlineStr">
        <is>
          <t>Critical</t>
        </is>
      </c>
      <c r="G37" s="2" t="n">
        <v>10</v>
      </c>
      <c r="H37" s="5" t="inlineStr"/>
      <c r="I37" s="2" t="inlineStr">
        <is>
          <t>2026-03-16</t>
        </is>
      </c>
      <c r="J37" s="2" t="inlineStr">
        <is>
          <t>2026-03-23</t>
        </is>
      </c>
      <c r="K37" s="6" t="inlineStr">
        <is>
          <t>To Do</t>
        </is>
      </c>
    </row>
    <row r="38">
      <c r="A38" s="2" t="inlineStr">
        <is>
          <t>AZ-SEC-037</t>
        </is>
      </c>
      <c r="B38" s="2" t="inlineStr">
        <is>
          <t>Azure Monitor</t>
        </is>
      </c>
      <c r="C38" s="3" t="inlineStr">
        <is>
          <t>Build Comprehensive Monitoring Terraform Module</t>
        </is>
      </c>
      <c r="D38" s="3" t="inlineStr">
        <is>
          <t>1. Create Log Analytics workspace module
2. Add diagnostic settings for all resource types
3. Implement action groups for alert notifications
4. Configure metric alerts for resource health
5. Add log query alerts for security events
6. Create workbook templates for dashboards
7. Implement data retention policies
8. Add data export configuration
9. Configure alert processing rules
10. Implement smart alert grouping
11. Document monitoring architecture and alerts</t>
        </is>
      </c>
      <c r="E38" s="3" t="inlineStr">
        <is>
          <t>1. Terraform plan creates Log Analytics workspace
2. Diagnostic settings configured for resources
3. Action groups created with notifications
4. Metric alerts defined for key resources
5. Log query alerts for security monitoring
6. Workbooks deployed for visualization
7. Retention policies set per compliance
8. Data export configured if required
9. Alert processing rules functional</t>
        </is>
      </c>
      <c r="F38" s="4" t="inlineStr">
        <is>
          <t>High</t>
        </is>
      </c>
      <c r="G38" s="2" t="n">
        <v>13</v>
      </c>
      <c r="H38" s="5" t="inlineStr"/>
      <c r="I38" s="2" t="inlineStr">
        <is>
          <t>2026-03-17</t>
        </is>
      </c>
      <c r="J38" s="2" t="inlineStr">
        <is>
          <t>2026-03-24</t>
        </is>
      </c>
      <c r="K38" s="6" t="inlineStr">
        <is>
          <t>To Do</t>
        </is>
      </c>
    </row>
    <row r="39">
      <c r="A39" s="2" t="inlineStr">
        <is>
          <t>AZ-SEC-038</t>
        </is>
      </c>
      <c r="B39" s="2" t="inlineStr">
        <is>
          <t>Azure Monitor</t>
        </is>
      </c>
      <c r="C39" s="3" t="inlineStr">
        <is>
          <t>Terraform Testing Phase - Azure Monitor Setup</t>
        </is>
      </c>
      <c r="D39" s="3" t="inlineStr">
        <is>
          <t>1. Deploy monitoring configuration via Terraform
2. Validate Log Analytics workspace creation
3. Test diagnostic settings deployment
4. Verify action group notifications
5. Test metric alert triggering
6. Validate log query alert execution
7. Test workbook deployment and data
8. Verify retention policies
9. Test data export functionality
10. Run CI/CD pipeline for monitoring deployment
11. Generate test data and validate alerts
12. Document monitoring validation results</t>
        </is>
      </c>
      <c r="E39" s="3" t="inlineStr">
        <is>
          <t>1. Log Analytics workspace deployed
2. Diagnostic logs flowing from resources
3. Action groups sending notifications
4. Metric alerts triggering correctly
5. Log query alerts executing on schedule
6. Workbooks displaying data correctly
7. Retention policies enforced
8. Data export working if configured
9. CI/CD pipeline validates monitoring
10. Test alerts triggering as expected
11. Terraform deployment successful</t>
        </is>
      </c>
      <c r="F39" s="4" t="inlineStr">
        <is>
          <t>High</t>
        </is>
      </c>
      <c r="G39" s="2" t="n">
        <v>8</v>
      </c>
      <c r="H39" s="5" t="inlineStr"/>
      <c r="I39" s="2" t="inlineStr">
        <is>
          <t>2026-03-18</t>
        </is>
      </c>
      <c r="J39" s="2" t="inlineStr">
        <is>
          <t>2026-03-25</t>
        </is>
      </c>
      <c r="K39" s="6" t="inlineStr">
        <is>
          <t>To Do</t>
        </is>
      </c>
    </row>
    <row r="40">
      <c r="A40" s="2" t="inlineStr">
        <is>
          <t>AZ-SEC-039</t>
        </is>
      </c>
      <c r="B40" s="2" t="inlineStr">
        <is>
          <t>Azure Policy</t>
        </is>
      </c>
      <c r="C40" s="3" t="inlineStr">
        <is>
          <t>Implement Azure Policy for Security Compliance</t>
        </is>
      </c>
      <c r="D40" s="3" t="inlineStr">
        <is>
          <t>1. Set up Azure Policy resources in Terraform
2. Add built-in policy definitions for security
3. Create custom policy definitions as needed
4. Implement policy assignments to scopes
5. Configure policy initiatives (policy sets)
6. Add policy remediation tasks
7. Configure compliance reporting and scanning
8. Implement policy exemptions and waivers
9. Add policy effects (Audit, Deny, DeployIfNotExists)
10. Configure policy parameters and values
11. Document policy governance and compliance</t>
        </is>
      </c>
      <c r="E40" s="3" t="inlineStr">
        <is>
          <t>1. Terraform plan includes policy definitions
2. Policy assignments configured correctly
3. Initiatives/policy sets created
4. Remediation tasks defined
5. Compliance scanning configured
6. Exemptions managed properly
7. Policy effects appropriate for controls
8. Parameters validated correctly
9. Policies aligned with compliance framework</t>
        </is>
      </c>
      <c r="F40" s="8" t="inlineStr">
        <is>
          <t>Critical</t>
        </is>
      </c>
      <c r="G40" s="2" t="n">
        <v>13</v>
      </c>
      <c r="H40" s="5" t="inlineStr"/>
      <c r="I40" s="2" t="inlineStr">
        <is>
          <t>2026-03-19</t>
        </is>
      </c>
      <c r="J40" s="2" t="inlineStr">
        <is>
          <t>2026-03-26</t>
        </is>
      </c>
      <c r="K40" s="6" t="inlineStr">
        <is>
          <t>To Do</t>
        </is>
      </c>
    </row>
    <row r="41">
      <c r="A41" s="2" t="inlineStr">
        <is>
          <t>AZ-SEC-040</t>
        </is>
      </c>
      <c r="B41" s="2" t="inlineStr">
        <is>
          <t>Azure Policy</t>
        </is>
      </c>
      <c r="C41" s="3" t="inlineStr">
        <is>
          <t>Terraform Testing Phase - Azure Policy Compliance</t>
        </is>
      </c>
      <c r="D41" s="3" t="inlineStr">
        <is>
          <t>1. Deploy Azure Policy via Terraform in test scope
2. Test policy assignment enforcement
3. Validate policy compliance scanning
4. Test remediation task execution
5. Verify policy exemptions
6. Test Audit effect policies
7. Validate Deny effect blocking
8. Test DeployIfNotExists automation
9. Run compliance reports and review
10. Run CI/CD pipeline for policy deployment
11. Test policy across different resource types
12. Document policy testing and compliance results</t>
        </is>
      </c>
      <c r="E41" s="3" t="inlineStr">
        <is>
          <t>1. Policies deployed successfully
2. Policy assignments enforcing correctly
3. Compliance scans showing results
4. Remediation tasks executing automatically
5. Exemptions applied properly
6. Audit policies logging violations
7. Deny policies blocking non-compliant resources
8. DeployIfNotExists policies remediating
9. Compliance reports generated
10. CI/CD pipeline validates policies
11. Terraform deployment successful
12. Compliance posture documented</t>
        </is>
      </c>
      <c r="F41" s="8" t="inlineStr">
        <is>
          <t>Critical</t>
        </is>
      </c>
      <c r="G41" s="2" t="n">
        <v>10</v>
      </c>
      <c r="H41" s="5" t="inlineStr"/>
      <c r="I41" s="2" t="inlineStr">
        <is>
          <t>2026-03-20</t>
        </is>
      </c>
      <c r="J41" s="2" t="inlineStr">
        <is>
          <t>2026-03-27</t>
        </is>
      </c>
      <c r="K41" s="6" t="inlineStr">
        <is>
          <t>To Do</t>
        </is>
      </c>
    </row>
    <row r="43">
      <c r="A43" s="9" t="inlineStr">
        <is>
          <t>Summary Statistics</t>
        </is>
      </c>
    </row>
    <row r="44">
      <c r="A44" s="10" t="inlineStr">
        <is>
          <t>Total Tickets:</t>
        </is>
      </c>
      <c r="B44">
        <f>COUNTA(A2:A41)</f>
        <v/>
      </c>
    </row>
    <row r="45">
      <c r="A45" s="10" t="inlineStr">
        <is>
          <t>Total Story Points:</t>
        </is>
      </c>
      <c r="B45">
        <f>SUM(G2:G41)</f>
        <v/>
      </c>
    </row>
    <row r="46">
      <c r="A46" s="10" t="inlineStr">
        <is>
          <t>Average Story Points:</t>
        </is>
      </c>
      <c r="B46">
        <f>AVERAGE(G2:G41)</f>
        <v/>
      </c>
    </row>
    <row r="48">
      <c r="A48" s="11" t="inlineStr">
        <is>
          <t>Priority Breakdown:</t>
        </is>
      </c>
    </row>
    <row r="49">
      <c r="A49" t="inlineStr">
        <is>
          <t>Critical Priority:</t>
        </is>
      </c>
      <c r="B49">
        <f>COUNTIF(F2:F41,"Critical")</f>
        <v/>
      </c>
    </row>
    <row r="50">
      <c r="A50" t="inlineStr">
        <is>
          <t>High Priority:</t>
        </is>
      </c>
      <c r="B50">
        <f>COUNTIF(F2:F41,"High")</f>
        <v/>
      </c>
    </row>
    <row r="51">
      <c r="A51" t="inlineStr">
        <is>
          <t>Medium Priority:</t>
        </is>
      </c>
      <c r="B51">
        <f>COUNTIF(F2:F41,"Medium")</f>
        <v/>
      </c>
    </row>
    <row r="53">
      <c r="A53" s="11" t="inlineStr">
        <is>
          <t>Resource Type Breakdown:</t>
        </is>
      </c>
    </row>
    <row r="54">
      <c r="A54" t="inlineStr">
        <is>
          <t>Development Tickets:</t>
        </is>
      </c>
      <c r="B54">
        <f>COUNTIF(C2:C41,"*Module*")+COUNTIF(C2:C41,"*Implement*")+COUNTIF(C2:C41,"*Build*")+COUNTIF(C2:C41,"*Create*")+COUNTIF(C2:C41,"*Add*")</f>
        <v/>
      </c>
    </row>
    <row r="55">
      <c r="A55" t="inlineStr">
        <is>
          <t>Testing Tickets:</t>
        </is>
      </c>
      <c r="B55">
        <f>COUNTIF(C2:C41,"*Testing Phase*")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2026-02-09T14:00:30Z</dcterms:created>
  <dcterms:modified xmlns:dcterms="http://purl.org/dc/terms/" xmlns:xsi="http://www.w3.org/2001/XMLSchema-instance" xsi:type="dcterms:W3CDTF">2026-02-09T14:00:30Z</dcterms:modified>
</cp:coreProperties>
</file>